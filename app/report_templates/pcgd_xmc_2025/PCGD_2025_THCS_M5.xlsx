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HCS\"/>
    </mc:Choice>
  </mc:AlternateContent>
  <xr:revisionPtr revIDLastSave="0" documentId="8_{9B73B338-74F9-4539-B674-621D532F801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4540" xr2:uid="{4A705577-28CF-4CB4-B82B-66B489771933}"/>
  </bookViews>
  <sheets>
    <sheet name="Thống kê đội ngũ giáo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0" i="1"/>
  <c r="H19" i="1" s="1"/>
  <c r="H16" i="1"/>
  <c r="H17" i="1"/>
  <c r="H18" i="1"/>
  <c r="H9" i="1"/>
  <c r="D19" i="1"/>
  <c r="E19" i="1"/>
  <c r="F19" i="1"/>
  <c r="G19" i="1"/>
  <c r="I19" i="1"/>
  <c r="J19" i="1"/>
  <c r="K19" i="1"/>
  <c r="L19" i="1"/>
  <c r="N19" i="1"/>
  <c r="O19" i="1"/>
  <c r="K22" i="1" s="1"/>
  <c r="P19" i="1"/>
  <c r="K21" i="1" s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K23" i="1" s="1"/>
  <c r="AM19" i="1"/>
  <c r="AN19" i="1"/>
  <c r="AO19" i="1"/>
  <c r="AP19" i="1"/>
  <c r="AQ19" i="1"/>
  <c r="C19" i="1"/>
  <c r="L22" i="1" l="1"/>
  <c r="L23" i="1"/>
  <c r="L21" i="1"/>
</calcChain>
</file>

<file path=xl/sharedStrings.xml><?xml version="1.0" encoding="utf-8"?>
<sst xmlns="http://schemas.openxmlformats.org/spreadsheetml/2006/main" count="94" uniqueCount="85">
  <si>
    <t>Mẫu: THCS-01-GV</t>
  </si>
  <si>
    <t>THỐNG KÊ ĐỘI NGŨ GIÁO VIÊN PHỔ CẬP GIÁO DỤC TRUNG HỌC CƠ SỞ</t>
  </si>
  <si>
    <t>TT</t>
  </si>
  <si>
    <t>Trường</t>
  </si>
  <si>
    <t>CBQL</t>
  </si>
  <si>
    <t>Giáo viên</t>
  </si>
  <si>
    <t>Nhân viên</t>
  </si>
  <si>
    <t>Hạng trường</t>
  </si>
  <si>
    <t>Hiệu trưởng</t>
  </si>
  <si>
    <t>P.Hiệu trưởng</t>
  </si>
  <si>
    <t>Tổng số</t>
  </si>
  <si>
    <t>Biên chế</t>
  </si>
  <si>
    <t>Hợp đồng</t>
  </si>
  <si>
    <t>Nữ</t>
  </si>
  <si>
    <t>Dân tộc</t>
  </si>
  <si>
    <t>Tỉ lệ GV/Lớp</t>
  </si>
  <si>
    <t>Trình độ đào tạo</t>
  </si>
  <si>
    <t>Chuyên ngành đào tạo</t>
  </si>
  <si>
    <t>TPT.Đội</t>
  </si>
  <si>
    <t>Chuẩn nghề nghiệp</t>
  </si>
  <si>
    <t>Thư viện</t>
  </si>
  <si>
    <t>Thiết bị - Thí nghiệm</t>
  </si>
  <si>
    <t>Văn phòng</t>
  </si>
  <si>
    <t>Y tế</t>
  </si>
  <si>
    <t>Trên ĐH</t>
  </si>
  <si>
    <t>ĐH</t>
  </si>
  <si>
    <t>CĐ</t>
  </si>
  <si>
    <t>THSP</t>
  </si>
  <si>
    <t>Toán</t>
  </si>
  <si>
    <t>Ngữ văn</t>
  </si>
  <si>
    <t>KHTN</t>
  </si>
  <si>
    <t>KHXH</t>
  </si>
  <si>
    <t>HĐGD</t>
  </si>
  <si>
    <t>GDCD</t>
  </si>
  <si>
    <t>Công nghệ</t>
  </si>
  <si>
    <t>Tin học</t>
  </si>
  <si>
    <t>Ngoại ngữ</t>
  </si>
  <si>
    <t>Xuất sắc</t>
  </si>
  <si>
    <t>Khá</t>
  </si>
  <si>
    <t>T.Bình</t>
  </si>
  <si>
    <t>Kém</t>
  </si>
  <si>
    <t>Lí</t>
  </si>
  <si>
    <t>Hóa</t>
  </si>
  <si>
    <t>Sinh</t>
  </si>
  <si>
    <t>Sử</t>
  </si>
  <si>
    <t>Địa</t>
  </si>
  <si>
    <t>Nhạc</t>
  </si>
  <si>
    <t>MT</t>
  </si>
  <si>
    <t>TD</t>
  </si>
  <si>
    <t>Anh</t>
  </si>
  <si>
    <t>Nga</t>
  </si>
  <si>
    <t>Pháp</t>
  </si>
  <si>
    <t>Khác</t>
  </si>
  <si>
    <t>Tiêu chí</t>
  </si>
  <si>
    <t>SL</t>
  </si>
  <si>
    <t>Tỷ lệ</t>
  </si>
  <si>
    <t>GV đạt chuẩn trình độ đào tạo</t>
  </si>
  <si>
    <t>GV đạt trên chuẩn trình độ đào tạo</t>
  </si>
  <si>
    <t>GV đạt yêu cầu chuẩn nghề nghiệp</t>
  </si>
  <si>
    <t>Tỉnh: Nghệ An</t>
  </si>
  <si>
    <t>NGƯỜI LẬP BIỂU</t>
  </si>
  <si>
    <t>Tính đến thời điểm: ngày 30 tháng 9 năm 2025</t>
  </si>
  <si>
    <t>Hạng 1</t>
  </si>
  <si>
    <t>Hạng 2</t>
  </si>
  <si>
    <t>Hạng 3</t>
  </si>
  <si>
    <t>Tên trường</t>
  </si>
  <si>
    <t>XÁC NHẬN CỦA UBND XÃ/PHƯỜNG/ĐẶC KHU</t>
  </si>
  <si>
    <t>PHÓ CHỦ TỊCH</t>
  </si>
  <si>
    <t>(Kí tên, đóng dấu)</t>
  </si>
  <si>
    <t>Cộng xã:</t>
  </si>
  <si>
    <t>Phường: Thành Vinh</t>
  </si>
  <si>
    <t>THCS Hưng Bình</t>
  </si>
  <si>
    <t>THCS Đội Cung</t>
  </si>
  <si>
    <t>THCS Quang Trung</t>
  </si>
  <si>
    <t>Trường NK TDTT</t>
  </si>
  <si>
    <t>THCS Lê Lợi</t>
  </si>
  <si>
    <t>THCS Lê Mao</t>
  </si>
  <si>
    <t>THCS Cửa Nam</t>
  </si>
  <si>
    <t>THCS Bluesky</t>
  </si>
  <si>
    <t>THCS Hưng Chính</t>
  </si>
  <si>
    <t>THCS Đông Vĩnh</t>
  </si>
  <si>
    <t>Nguyễn Quang Vinh</t>
  </si>
  <si>
    <t>Nguyễn Thị Như Quỳnh</t>
  </si>
  <si>
    <t>Thành Vinh , ngày      tháng     năm 2025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</si>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</sst>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* #,##0.00\ &quot;₫&quot;_-;\-* #,##0.00\ &quot;₫&quot;_-;_-* &quot;-&quot;??\ &quot;₫&quot;_-;_-@_-"/>
    <numFmt numFmtId="172" formatCode="#,###"/>
  </numFmts>
  <fonts count="17" x14ac:knownFonts="1">
    <font>
      <sz val="10"/>
      <color indexed="8"/>
      <name val="Arial"/>
    </font>
    <font>
      <b/>
      <sz val="10"/>
      <color indexed="8"/>
      <name val="Arial"/>
    </font>
    <font>
      <b/>
      <i/>
      <sz val="10"/>
      <color indexed="8"/>
      <name val="Arial"/>
    </font>
    <font>
      <sz val="8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  <charset val="163"/>
    </font>
    <font>
      <b/>
      <i/>
      <sz val="10"/>
      <color indexed="8"/>
      <name val="Arial"/>
      <family val="2"/>
      <charset val="163"/>
    </font>
    <font>
      <b/>
      <sz val="12"/>
      <color indexed="8"/>
      <name val="Arial"/>
      <family val="2"/>
      <charset val="163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i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74">
    <xf numFmtId="0" fontId="0" fillId="0" borderId="0" xfId="0" applyFill="1" applyProtection="1"/>
    <xf numFmtId="0" fontId="14" fillId="2" borderId="1" xfId="0" applyFont="1" applyFill="1" applyBorder="1" applyProtection="1"/>
    <xf numFmtId="0" fontId="1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horizontal="center" vertical="center" textRotation="90" wrapText="1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 textRotation="90" wrapText="1"/>
      <protection locked="0"/>
    </xf>
    <xf numFmtId="0" fontId="4" fillId="0" borderId="2" xfId="0" applyFont="1" applyFill="1" applyBorder="1" applyAlignment="1" applyProtection="1">
      <alignment vertical="center" textRotation="90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 applyProtection="1">
      <protection locked="0"/>
    </xf>
    <xf numFmtId="0" fontId="1" fillId="0" borderId="0" xfId="0" applyFont="1" applyFill="1" applyAlignment="1" applyProtection="1"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Fill="1" applyAlignment="1" applyProtection="1">
      <alignment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170" fontId="11" fillId="0" borderId="0" xfId="0" applyNumberFormat="1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vertical="center"/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0" fillId="0" borderId="3" xfId="0" applyFont="1" applyFill="1" applyBorder="1" applyAlignment="1" applyProtection="1">
      <alignment horizontal="left" vertical="center" shrinkToFit="1"/>
      <protection locked="0"/>
    </xf>
    <xf numFmtId="172" fontId="0" fillId="0" borderId="15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6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7" xfId="0" applyNumberFormat="1" applyFont="1" applyFill="1" applyBorder="1" applyAlignment="1" applyProtection="1">
      <alignment horizontal="center" vertical="center" shrinkToFit="1"/>
      <protection locked="0"/>
    </xf>
    <xf numFmtId="4" fontId="0" fillId="0" borderId="16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8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19" xfId="0" applyNumberFormat="1" applyFont="1" applyFill="1" applyBorder="1" applyAlignment="1" applyProtection="1">
      <alignment horizontal="center" vertical="center" shrinkToFit="1"/>
      <protection locked="0"/>
    </xf>
    <xf numFmtId="172" fontId="0" fillId="0" borderId="20" xfId="0" applyNumberFormat="1" applyFont="1" applyFill="1" applyBorder="1" applyAlignment="1" applyProtection="1">
      <alignment horizontal="center" vertical="center" shrinkToFit="1"/>
      <protection locked="0"/>
    </xf>
    <xf numFmtId="170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Protection="1">
      <protection locked="0"/>
    </xf>
    <xf numFmtId="0" fontId="13" fillId="0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textRotation="90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1" xfId="0" applyFont="1" applyFill="1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0" fontId="4" fillId="0" borderId="7" xfId="0" applyFont="1" applyFill="1" applyBorder="1" applyAlignment="1" applyProtection="1">
      <alignment horizontal="center" vertical="center" textRotation="90" wrapText="1"/>
      <protection locked="0"/>
    </xf>
    <xf numFmtId="0" fontId="4" fillId="0" borderId="4" xfId="0" applyFont="1" applyFill="1" applyBorder="1" applyAlignment="1" applyProtection="1">
      <alignment horizontal="center" vertical="center" textRotation="90" wrapText="1"/>
      <protection locked="0"/>
    </xf>
    <xf numFmtId="0" fontId="4" fillId="0" borderId="11" xfId="0" applyFont="1" applyFill="1" applyBorder="1" applyAlignment="1" applyProtection="1">
      <alignment horizontal="center" vertical="center" wrapText="1"/>
      <protection locked="0"/>
    </xf>
    <xf numFmtId="0" fontId="4" fillId="0" borderId="12" xfId="0" applyFont="1" applyFill="1" applyBorder="1" applyAlignment="1" applyProtection="1">
      <alignment horizontal="center" vertical="center" wrapText="1"/>
      <protection locked="0"/>
    </xf>
    <xf numFmtId="0" fontId="4" fillId="0" borderId="13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textRotation="90" wrapText="1"/>
      <protection locked="0"/>
    </xf>
    <xf numFmtId="0" fontId="4" fillId="0" borderId="10" xfId="0" applyFont="1" applyFill="1" applyBorder="1" applyAlignment="1" applyProtection="1">
      <alignment horizontal="center" vertical="center" textRotation="90" wrapText="1"/>
      <protection locked="0"/>
    </xf>
    <xf numFmtId="0" fontId="4" fillId="0" borderId="2" xfId="0" applyFont="1" applyFill="1" applyBorder="1" applyAlignment="1" applyProtection="1">
      <alignment horizontal="center" vertical="center" textRotation="90" wrapText="1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Fill="1" applyBorder="1" applyAlignment="1" applyProtection="1">
      <alignment horizontal="center" vertical="center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left" vertical="center"/>
      <protection locked="0"/>
    </xf>
    <xf numFmtId="0" fontId="13" fillId="0" borderId="6" xfId="0" applyFont="1" applyFill="1" applyBorder="1" applyAlignment="1" applyProtection="1">
      <alignment horizontal="left" vertical="center"/>
      <protection locked="0"/>
    </xf>
    <xf numFmtId="0" fontId="16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F7DD-8D59-4E26-94F1-2D4F8C636EF7}">
  <dimension ref="A1:AQ34"/>
  <sheetViews>
    <sheetView tabSelected="1" workbookViewId="0">
      <selection activeCell="I16" sqref="I16"/>
    </sheetView>
  </sheetViews>
  <sheetFormatPr defaultColWidth="8.81640625" defaultRowHeight="15" customHeight="1" x14ac:dyDescent="0.25"/>
  <cols>
    <col min="1" max="1" width="3" style="5" customWidth="1"/>
    <col min="2" max="2" width="16" style="5" customWidth="1"/>
    <col min="3" max="7" width="3.26953125" style="5" customWidth="1"/>
    <col min="8" max="9" width="3.81640625" style="5" customWidth="1"/>
    <col min="10" max="10" width="4.54296875" style="5" customWidth="1"/>
    <col min="11" max="11" width="3.81640625" style="5" customWidth="1"/>
    <col min="12" max="12" width="4.453125" style="5" customWidth="1"/>
    <col min="13" max="24" width="3.81640625" style="5" customWidth="1"/>
    <col min="25" max="25" width="4.54296875" style="5" customWidth="1"/>
    <col min="26" max="42" width="3.81640625" style="5" customWidth="1"/>
    <col min="43" max="43" width="4.453125" style="5" customWidth="1"/>
    <col min="44" max="16384" width="8.81640625" style="5"/>
  </cols>
  <sheetData>
    <row r="1" spans="1:43" s="6" customFormat="1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49" t="s">
        <v>0</v>
      </c>
      <c r="AN1" s="49"/>
      <c r="AO1" s="49"/>
      <c r="AP1" s="49"/>
    </row>
    <row r="2" spans="1:43" s="6" customFormat="1" ht="20.149999999999999" customHeight="1" x14ac:dyDescent="0.25">
      <c r="A2" s="70" t="s">
        <v>59</v>
      </c>
      <c r="B2" s="70"/>
      <c r="C2" s="70"/>
      <c r="D2" s="70"/>
      <c r="E2" s="70"/>
      <c r="F2" s="70"/>
      <c r="G2" s="58" t="s">
        <v>1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7"/>
      <c r="AK2" s="7"/>
      <c r="AL2" s="7"/>
      <c r="AM2" s="8"/>
      <c r="AN2" s="8"/>
      <c r="AO2" s="8"/>
      <c r="AP2" s="8"/>
    </row>
    <row r="3" spans="1:43" s="6" customFormat="1" ht="20.149999999999999" customHeight="1" x14ac:dyDescent="0.25">
      <c r="A3" s="71" t="s">
        <v>70</v>
      </c>
      <c r="B3" s="71"/>
      <c r="C3" s="71"/>
      <c r="D3" s="71"/>
      <c r="E3" s="71"/>
      <c r="F3" s="71"/>
      <c r="G3" s="62" t="s">
        <v>61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4"/>
      <c r="AK3" s="4"/>
      <c r="AL3" s="4"/>
    </row>
    <row r="4" spans="1:43" s="6" customFormat="1" ht="24.75" customHeight="1" x14ac:dyDescent="0.25">
      <c r="A4" s="41" t="s">
        <v>2</v>
      </c>
      <c r="B4" s="45" t="s">
        <v>3</v>
      </c>
      <c r="C4" s="46"/>
      <c r="D4" s="46"/>
      <c r="E4" s="47"/>
      <c r="F4" s="65" t="s">
        <v>4</v>
      </c>
      <c r="G4" s="66"/>
      <c r="H4" s="45" t="s">
        <v>5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/>
      <c r="AN4" s="44" t="s">
        <v>6</v>
      </c>
      <c r="AO4" s="44"/>
      <c r="AP4" s="44"/>
      <c r="AQ4" s="44"/>
    </row>
    <row r="5" spans="1:43" ht="33" customHeight="1" x14ac:dyDescent="0.25">
      <c r="A5" s="42"/>
      <c r="B5" s="48" t="s">
        <v>65</v>
      </c>
      <c r="C5" s="67" t="s">
        <v>7</v>
      </c>
      <c r="D5" s="68"/>
      <c r="E5" s="69"/>
      <c r="F5" s="40" t="s">
        <v>8</v>
      </c>
      <c r="G5" s="40" t="s">
        <v>9</v>
      </c>
      <c r="H5" s="40" t="s">
        <v>10</v>
      </c>
      <c r="I5" s="40" t="s">
        <v>11</v>
      </c>
      <c r="J5" s="40" t="s">
        <v>12</v>
      </c>
      <c r="K5" s="40" t="s">
        <v>13</v>
      </c>
      <c r="L5" s="40" t="s">
        <v>14</v>
      </c>
      <c r="M5" s="40" t="s">
        <v>15</v>
      </c>
      <c r="N5" s="44" t="s">
        <v>16</v>
      </c>
      <c r="O5" s="44"/>
      <c r="P5" s="44"/>
      <c r="Q5" s="44"/>
      <c r="R5" s="64" t="s">
        <v>17</v>
      </c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6"/>
      <c r="AI5" s="55" t="s">
        <v>18</v>
      </c>
      <c r="AJ5" s="64" t="s">
        <v>19</v>
      </c>
      <c r="AK5" s="65"/>
      <c r="AL5" s="65"/>
      <c r="AM5" s="66"/>
      <c r="AN5" s="55" t="s">
        <v>20</v>
      </c>
      <c r="AO5" s="55" t="s">
        <v>21</v>
      </c>
      <c r="AP5" s="55" t="s">
        <v>22</v>
      </c>
      <c r="AQ5" s="55" t="s">
        <v>23</v>
      </c>
    </row>
    <row r="6" spans="1:43" ht="34.5" customHeight="1" x14ac:dyDescent="0.25">
      <c r="A6" s="42"/>
      <c r="B6" s="48"/>
      <c r="C6" s="55" t="s">
        <v>62</v>
      </c>
      <c r="D6" s="55" t="s">
        <v>63</v>
      </c>
      <c r="E6" s="55" t="s">
        <v>64</v>
      </c>
      <c r="F6" s="40"/>
      <c r="G6" s="40"/>
      <c r="H6" s="40"/>
      <c r="I6" s="40"/>
      <c r="J6" s="40"/>
      <c r="K6" s="40"/>
      <c r="L6" s="40"/>
      <c r="M6" s="40"/>
      <c r="N6" s="50" t="s">
        <v>24</v>
      </c>
      <c r="O6" s="50" t="s">
        <v>25</v>
      </c>
      <c r="P6" s="50" t="s">
        <v>26</v>
      </c>
      <c r="Q6" s="50" t="s">
        <v>27</v>
      </c>
      <c r="R6" s="50" t="s">
        <v>28</v>
      </c>
      <c r="S6" s="50" t="s">
        <v>29</v>
      </c>
      <c r="T6" s="59" t="s">
        <v>30</v>
      </c>
      <c r="U6" s="60"/>
      <c r="V6" s="61"/>
      <c r="W6" s="59" t="s">
        <v>31</v>
      </c>
      <c r="X6" s="61"/>
      <c r="Y6" s="63" t="s">
        <v>32</v>
      </c>
      <c r="Z6" s="63"/>
      <c r="AA6" s="63"/>
      <c r="AB6" s="50" t="s">
        <v>33</v>
      </c>
      <c r="AC6" s="50" t="s">
        <v>34</v>
      </c>
      <c r="AD6" s="50" t="s">
        <v>35</v>
      </c>
      <c r="AE6" s="52" t="s">
        <v>36</v>
      </c>
      <c r="AF6" s="53"/>
      <c r="AG6" s="53"/>
      <c r="AH6" s="54"/>
      <c r="AI6" s="56"/>
      <c r="AJ6" s="50" t="s">
        <v>37</v>
      </c>
      <c r="AK6" s="50" t="s">
        <v>38</v>
      </c>
      <c r="AL6" s="50" t="s">
        <v>39</v>
      </c>
      <c r="AM6" s="55" t="s">
        <v>40</v>
      </c>
      <c r="AN6" s="56"/>
      <c r="AO6" s="56"/>
      <c r="AP6" s="56"/>
      <c r="AQ6" s="56"/>
    </row>
    <row r="7" spans="1:43" ht="28.5" customHeight="1" x14ac:dyDescent="0.25">
      <c r="A7" s="43"/>
      <c r="B7" s="39"/>
      <c r="C7" s="57"/>
      <c r="D7" s="57"/>
      <c r="E7" s="57"/>
      <c r="F7" s="40"/>
      <c r="G7" s="40"/>
      <c r="H7" s="40"/>
      <c r="I7" s="40"/>
      <c r="J7" s="40"/>
      <c r="K7" s="40"/>
      <c r="L7" s="40"/>
      <c r="M7" s="40"/>
      <c r="N7" s="51"/>
      <c r="O7" s="51"/>
      <c r="P7" s="51"/>
      <c r="Q7" s="51"/>
      <c r="R7" s="51"/>
      <c r="S7" s="51"/>
      <c r="T7" s="9" t="s">
        <v>41</v>
      </c>
      <c r="U7" s="9" t="s">
        <v>42</v>
      </c>
      <c r="V7" s="9" t="s">
        <v>43</v>
      </c>
      <c r="W7" s="9" t="s">
        <v>44</v>
      </c>
      <c r="X7" s="9" t="s">
        <v>45</v>
      </c>
      <c r="Y7" s="11" t="s">
        <v>46</v>
      </c>
      <c r="Z7" s="11" t="s">
        <v>47</v>
      </c>
      <c r="AA7" s="12" t="s">
        <v>48</v>
      </c>
      <c r="AB7" s="51"/>
      <c r="AC7" s="51"/>
      <c r="AD7" s="51"/>
      <c r="AE7" s="9" t="s">
        <v>49</v>
      </c>
      <c r="AF7" s="9" t="s">
        <v>50</v>
      </c>
      <c r="AG7" s="9" t="s">
        <v>51</v>
      </c>
      <c r="AH7" s="9" t="s">
        <v>52</v>
      </c>
      <c r="AI7" s="57"/>
      <c r="AJ7" s="51"/>
      <c r="AK7" s="51"/>
      <c r="AL7" s="51"/>
      <c r="AM7" s="57"/>
      <c r="AN7" s="57"/>
      <c r="AO7" s="57"/>
      <c r="AP7" s="57"/>
      <c r="AQ7" s="57"/>
    </row>
    <row r="8" spans="1:43" ht="15.65" customHeight="1" x14ac:dyDescent="0.25">
      <c r="A8" s="13">
        <v>1</v>
      </c>
      <c r="B8" s="13">
        <v>2</v>
      </c>
      <c r="C8" s="13">
        <v>3</v>
      </c>
      <c r="D8" s="13">
        <v>4</v>
      </c>
      <c r="E8" s="13">
        <v>5</v>
      </c>
      <c r="F8" s="13">
        <v>6</v>
      </c>
      <c r="G8" s="13">
        <v>7</v>
      </c>
      <c r="H8" s="13">
        <v>8</v>
      </c>
      <c r="I8" s="13">
        <v>9</v>
      </c>
      <c r="J8" s="13">
        <v>10</v>
      </c>
      <c r="K8" s="13">
        <v>11</v>
      </c>
      <c r="L8" s="13">
        <v>12</v>
      </c>
      <c r="M8" s="13">
        <v>13</v>
      </c>
      <c r="N8" s="13">
        <v>14</v>
      </c>
      <c r="O8" s="13">
        <v>15</v>
      </c>
      <c r="P8" s="13">
        <v>16</v>
      </c>
      <c r="Q8" s="13">
        <v>17</v>
      </c>
      <c r="R8" s="13">
        <v>18</v>
      </c>
      <c r="S8" s="13">
        <v>19</v>
      </c>
      <c r="T8" s="13">
        <v>20</v>
      </c>
      <c r="U8" s="13">
        <v>21</v>
      </c>
      <c r="V8" s="13">
        <v>22</v>
      </c>
      <c r="W8" s="13">
        <v>23</v>
      </c>
      <c r="X8" s="13">
        <v>24</v>
      </c>
      <c r="Y8" s="13">
        <v>25</v>
      </c>
      <c r="Z8" s="13">
        <v>26</v>
      </c>
      <c r="AA8" s="13">
        <v>27</v>
      </c>
      <c r="AB8" s="13">
        <v>28</v>
      </c>
      <c r="AC8" s="13">
        <v>29</v>
      </c>
      <c r="AD8" s="13">
        <v>30</v>
      </c>
      <c r="AE8" s="13">
        <v>31</v>
      </c>
      <c r="AF8" s="13">
        <v>32</v>
      </c>
      <c r="AG8" s="13">
        <v>33</v>
      </c>
      <c r="AH8" s="13">
        <v>34</v>
      </c>
      <c r="AI8" s="13">
        <v>35</v>
      </c>
      <c r="AJ8" s="13">
        <v>36</v>
      </c>
      <c r="AK8" s="13">
        <v>37</v>
      </c>
      <c r="AL8" s="13">
        <v>38</v>
      </c>
      <c r="AM8" s="13">
        <v>39</v>
      </c>
      <c r="AN8" s="13">
        <v>40</v>
      </c>
      <c r="AO8" s="13">
        <v>41</v>
      </c>
      <c r="AP8" s="13">
        <v>42</v>
      </c>
      <c r="AQ8" s="13">
        <v>43</v>
      </c>
    </row>
    <row r="9" spans="1:43" ht="24" customHeight="1" x14ac:dyDescent="0.25">
      <c r="A9" s="14">
        <v>1</v>
      </c>
      <c r="B9" s="26" t="s">
        <v>71</v>
      </c>
      <c r="C9" s="14" t="s">
        <v>84</v>
      </c>
      <c r="D9" s="14"/>
      <c r="E9" s="14"/>
      <c r="F9" s="27">
        <v>1</v>
      </c>
      <c r="G9" s="28">
        <v>1</v>
      </c>
      <c r="H9" s="3">
        <f t="shared" ref="H9:H18" si="0">I9+J9</f>
        <v>59</v>
      </c>
      <c r="I9" s="29">
        <v>49</v>
      </c>
      <c r="J9" s="29">
        <v>10</v>
      </c>
      <c r="K9" s="29">
        <v>42</v>
      </c>
      <c r="L9" s="29">
        <v>1</v>
      </c>
      <c r="M9" s="30">
        <v>1.79</v>
      </c>
      <c r="N9" s="27">
        <v>11</v>
      </c>
      <c r="O9" s="29">
        <v>48</v>
      </c>
      <c r="P9" s="29">
        <v>0</v>
      </c>
      <c r="Q9" s="31">
        <v>0</v>
      </c>
      <c r="R9" s="27">
        <v>11</v>
      </c>
      <c r="S9" s="29">
        <v>11</v>
      </c>
      <c r="T9" s="29">
        <v>2</v>
      </c>
      <c r="U9" s="29">
        <v>2</v>
      </c>
      <c r="V9" s="29">
        <v>3</v>
      </c>
      <c r="W9" s="31">
        <v>2</v>
      </c>
      <c r="X9" s="31">
        <v>3</v>
      </c>
      <c r="Y9" s="31">
        <v>1</v>
      </c>
      <c r="Z9" s="31">
        <v>1</v>
      </c>
      <c r="AA9" s="31">
        <v>3</v>
      </c>
      <c r="AB9" s="31">
        <v>1</v>
      </c>
      <c r="AC9" s="31">
        <v>0</v>
      </c>
      <c r="AD9" s="28">
        <v>2</v>
      </c>
      <c r="AE9" s="31">
        <v>7</v>
      </c>
      <c r="AF9" s="14"/>
      <c r="AG9" s="14"/>
      <c r="AH9" s="14"/>
      <c r="AI9" s="32">
        <v>1</v>
      </c>
      <c r="AJ9" s="29">
        <v>49</v>
      </c>
      <c r="AK9" s="29">
        <v>10</v>
      </c>
      <c r="AL9" s="14"/>
      <c r="AM9" s="14"/>
      <c r="AN9" s="33">
        <v>1</v>
      </c>
      <c r="AO9" s="28">
        <v>0</v>
      </c>
      <c r="AP9" s="27">
        <v>3</v>
      </c>
      <c r="AQ9" s="14">
        <v>1</v>
      </c>
    </row>
    <row r="10" spans="1:43" ht="24" customHeight="1" x14ac:dyDescent="0.25">
      <c r="A10" s="14">
        <v>2</v>
      </c>
      <c r="B10" s="26" t="s">
        <v>72</v>
      </c>
      <c r="C10" s="14"/>
      <c r="D10" s="14" t="s">
        <v>84</v>
      </c>
      <c r="E10" s="14"/>
      <c r="F10" s="27">
        <v>1</v>
      </c>
      <c r="G10" s="28">
        <v>1</v>
      </c>
      <c r="H10" s="3">
        <f t="shared" si="0"/>
        <v>34</v>
      </c>
      <c r="I10" s="29">
        <v>29</v>
      </c>
      <c r="J10" s="29">
        <v>5</v>
      </c>
      <c r="K10" s="29">
        <v>25</v>
      </c>
      <c r="L10" s="29">
        <v>0</v>
      </c>
      <c r="M10" s="30">
        <v>1.62</v>
      </c>
      <c r="N10" s="27">
        <v>7</v>
      </c>
      <c r="O10" s="29">
        <v>27</v>
      </c>
      <c r="P10" s="29">
        <v>0</v>
      </c>
      <c r="Q10" s="31">
        <v>0</v>
      </c>
      <c r="R10" s="27">
        <v>7</v>
      </c>
      <c r="S10" s="29">
        <v>7</v>
      </c>
      <c r="T10" s="29">
        <v>3</v>
      </c>
      <c r="U10" s="29">
        <v>1</v>
      </c>
      <c r="V10" s="29">
        <v>2</v>
      </c>
      <c r="W10" s="31">
        <v>1</v>
      </c>
      <c r="X10" s="31">
        <v>2</v>
      </c>
      <c r="Y10" s="31">
        <v>1</v>
      </c>
      <c r="Z10" s="31">
        <v>1</v>
      </c>
      <c r="AA10" s="31">
        <v>2</v>
      </c>
      <c r="AB10" s="31">
        <v>1</v>
      </c>
      <c r="AC10" s="31">
        <v>1</v>
      </c>
      <c r="AD10" s="28">
        <v>1</v>
      </c>
      <c r="AE10" s="31">
        <v>4</v>
      </c>
      <c r="AF10" s="14"/>
      <c r="AG10" s="14"/>
      <c r="AH10" s="14"/>
      <c r="AI10" s="32">
        <v>1</v>
      </c>
      <c r="AJ10" s="29">
        <v>29</v>
      </c>
      <c r="AK10" s="29">
        <v>5</v>
      </c>
      <c r="AL10" s="14"/>
      <c r="AM10" s="14"/>
      <c r="AN10" s="33">
        <v>1</v>
      </c>
      <c r="AO10" s="28">
        <v>1</v>
      </c>
      <c r="AP10" s="27">
        <v>1</v>
      </c>
      <c r="AQ10" s="14">
        <v>1</v>
      </c>
    </row>
    <row r="11" spans="1:43" ht="24" customHeight="1" x14ac:dyDescent="0.25">
      <c r="A11" s="14">
        <v>3</v>
      </c>
      <c r="B11" s="26" t="s">
        <v>73</v>
      </c>
      <c r="C11" s="14"/>
      <c r="D11" s="14" t="s">
        <v>84</v>
      </c>
      <c r="E11" s="14"/>
      <c r="F11" s="27">
        <v>1</v>
      </c>
      <c r="G11" s="28">
        <v>1</v>
      </c>
      <c r="H11" s="3">
        <f t="shared" si="0"/>
        <v>28</v>
      </c>
      <c r="I11" s="29">
        <v>28</v>
      </c>
      <c r="J11" s="29">
        <v>0</v>
      </c>
      <c r="K11" s="29">
        <v>25</v>
      </c>
      <c r="L11" s="29">
        <v>0</v>
      </c>
      <c r="M11" s="30">
        <v>1.75</v>
      </c>
      <c r="N11" s="27">
        <v>9</v>
      </c>
      <c r="O11" s="29">
        <v>19</v>
      </c>
      <c r="P11" s="29">
        <v>0</v>
      </c>
      <c r="Q11" s="31">
        <v>0</v>
      </c>
      <c r="R11" s="27">
        <v>5</v>
      </c>
      <c r="S11" s="29">
        <v>5</v>
      </c>
      <c r="T11" s="29">
        <v>2</v>
      </c>
      <c r="U11" s="29">
        <v>1</v>
      </c>
      <c r="V11" s="29">
        <v>1</v>
      </c>
      <c r="W11" s="31">
        <v>1</v>
      </c>
      <c r="X11" s="31">
        <v>2</v>
      </c>
      <c r="Y11" s="31">
        <v>1</v>
      </c>
      <c r="Z11" s="31">
        <v>1</v>
      </c>
      <c r="AA11" s="31">
        <v>2</v>
      </c>
      <c r="AB11" s="31">
        <v>0</v>
      </c>
      <c r="AC11" s="31">
        <v>0</v>
      </c>
      <c r="AD11" s="28">
        <v>1</v>
      </c>
      <c r="AE11" s="31">
        <v>3</v>
      </c>
      <c r="AF11" s="14"/>
      <c r="AG11" s="14"/>
      <c r="AH11" s="14"/>
      <c r="AI11" s="32">
        <v>1</v>
      </c>
      <c r="AJ11" s="29">
        <v>28</v>
      </c>
      <c r="AK11" s="29">
        <v>0</v>
      </c>
      <c r="AL11" s="14"/>
      <c r="AM11" s="14"/>
      <c r="AN11" s="33">
        <v>0</v>
      </c>
      <c r="AO11" s="28">
        <v>1</v>
      </c>
      <c r="AP11" s="27">
        <v>2</v>
      </c>
      <c r="AQ11" s="14">
        <v>1</v>
      </c>
    </row>
    <row r="12" spans="1:43" ht="24" customHeight="1" x14ac:dyDescent="0.25">
      <c r="A12" s="14">
        <v>4</v>
      </c>
      <c r="B12" s="26" t="s">
        <v>74</v>
      </c>
      <c r="C12" s="14"/>
      <c r="D12" s="14"/>
      <c r="E12" s="14" t="s">
        <v>84</v>
      </c>
      <c r="F12" s="27">
        <v>1</v>
      </c>
      <c r="G12" s="28">
        <v>1</v>
      </c>
      <c r="H12" s="3">
        <f t="shared" si="0"/>
        <v>36</v>
      </c>
      <c r="I12" s="29">
        <v>35</v>
      </c>
      <c r="J12" s="29">
        <v>1</v>
      </c>
      <c r="K12" s="29">
        <v>25</v>
      </c>
      <c r="L12" s="29">
        <v>0</v>
      </c>
      <c r="M12" s="30">
        <v>2.77</v>
      </c>
      <c r="N12" s="27">
        <v>15</v>
      </c>
      <c r="O12" s="29">
        <v>20</v>
      </c>
      <c r="P12" s="29">
        <v>1</v>
      </c>
      <c r="Q12" s="31">
        <v>0</v>
      </c>
      <c r="R12" s="27">
        <v>5</v>
      </c>
      <c r="S12" s="29">
        <v>4</v>
      </c>
      <c r="T12" s="29">
        <v>2</v>
      </c>
      <c r="U12" s="29">
        <v>2</v>
      </c>
      <c r="V12" s="29">
        <v>2</v>
      </c>
      <c r="W12" s="31">
        <v>1</v>
      </c>
      <c r="X12" s="31">
        <v>2</v>
      </c>
      <c r="Y12" s="31">
        <v>1</v>
      </c>
      <c r="Z12" s="31">
        <v>1</v>
      </c>
      <c r="AA12" s="31">
        <v>3</v>
      </c>
      <c r="AB12" s="31">
        <v>2</v>
      </c>
      <c r="AC12" s="31">
        <v>2</v>
      </c>
      <c r="AD12" s="28">
        <v>2</v>
      </c>
      <c r="AE12" s="31">
        <v>4</v>
      </c>
      <c r="AF12" s="14"/>
      <c r="AG12" s="14"/>
      <c r="AH12" s="14"/>
      <c r="AI12" s="32">
        <v>1</v>
      </c>
      <c r="AJ12" s="29">
        <v>35</v>
      </c>
      <c r="AK12" s="29">
        <v>1</v>
      </c>
      <c r="AL12" s="14"/>
      <c r="AM12" s="14"/>
      <c r="AN12" s="33">
        <v>1</v>
      </c>
      <c r="AO12" s="28">
        <v>0</v>
      </c>
      <c r="AP12" s="27">
        <v>1</v>
      </c>
      <c r="AQ12" s="14"/>
    </row>
    <row r="13" spans="1:43" ht="24" customHeight="1" x14ac:dyDescent="0.25">
      <c r="A13" s="14">
        <v>5</v>
      </c>
      <c r="B13" s="26" t="s">
        <v>75</v>
      </c>
      <c r="C13" s="14" t="s">
        <v>84</v>
      </c>
      <c r="D13" s="14"/>
      <c r="E13" s="14"/>
      <c r="F13" s="27">
        <v>1</v>
      </c>
      <c r="G13" s="28">
        <v>2</v>
      </c>
      <c r="H13" s="3">
        <f t="shared" si="0"/>
        <v>58</v>
      </c>
      <c r="I13" s="29">
        <v>58</v>
      </c>
      <c r="J13" s="29">
        <v>0</v>
      </c>
      <c r="K13" s="29">
        <v>56</v>
      </c>
      <c r="L13" s="29">
        <v>0</v>
      </c>
      <c r="M13" s="30">
        <v>1.49</v>
      </c>
      <c r="N13" s="27">
        <v>12</v>
      </c>
      <c r="O13" s="29">
        <v>46</v>
      </c>
      <c r="P13" s="29">
        <v>0</v>
      </c>
      <c r="Q13" s="31">
        <v>0</v>
      </c>
      <c r="R13" s="27">
        <v>12</v>
      </c>
      <c r="S13" s="29">
        <v>12</v>
      </c>
      <c r="T13" s="29">
        <v>3</v>
      </c>
      <c r="U13" s="29">
        <v>2</v>
      </c>
      <c r="V13" s="29">
        <v>4</v>
      </c>
      <c r="W13" s="31">
        <v>3</v>
      </c>
      <c r="X13" s="31">
        <v>3</v>
      </c>
      <c r="Y13" s="31">
        <v>2</v>
      </c>
      <c r="Z13" s="31">
        <v>1</v>
      </c>
      <c r="AA13" s="31">
        <v>3</v>
      </c>
      <c r="AB13" s="31">
        <v>2</v>
      </c>
      <c r="AC13" s="31">
        <v>0</v>
      </c>
      <c r="AD13" s="28">
        <v>1</v>
      </c>
      <c r="AE13" s="31">
        <v>8</v>
      </c>
      <c r="AF13" s="14"/>
      <c r="AG13" s="14">
        <v>2</v>
      </c>
      <c r="AH13" s="14"/>
      <c r="AI13" s="32">
        <v>1</v>
      </c>
      <c r="AJ13" s="29">
        <v>58</v>
      </c>
      <c r="AK13" s="29">
        <v>0</v>
      </c>
      <c r="AL13" s="14"/>
      <c r="AM13" s="14"/>
      <c r="AN13" s="33">
        <v>1</v>
      </c>
      <c r="AO13" s="28">
        <v>1</v>
      </c>
      <c r="AP13" s="27">
        <v>2</v>
      </c>
      <c r="AQ13" s="14">
        <v>1</v>
      </c>
    </row>
    <row r="14" spans="1:43" ht="24" customHeight="1" x14ac:dyDescent="0.25">
      <c r="A14" s="14">
        <v>6</v>
      </c>
      <c r="B14" s="26" t="s">
        <v>76</v>
      </c>
      <c r="C14" s="14"/>
      <c r="D14" s="14" t="s">
        <v>84</v>
      </c>
      <c r="E14" s="14"/>
      <c r="F14" s="27">
        <v>1</v>
      </c>
      <c r="G14" s="28">
        <v>1</v>
      </c>
      <c r="H14" s="3">
        <f t="shared" si="0"/>
        <v>42</v>
      </c>
      <c r="I14" s="29">
        <v>39</v>
      </c>
      <c r="J14" s="29">
        <v>3</v>
      </c>
      <c r="K14" s="29">
        <v>7</v>
      </c>
      <c r="L14" s="29">
        <v>0</v>
      </c>
      <c r="M14" s="30">
        <v>1.62</v>
      </c>
      <c r="N14" s="27">
        <v>10</v>
      </c>
      <c r="O14" s="29">
        <v>31</v>
      </c>
      <c r="P14" s="29">
        <v>1</v>
      </c>
      <c r="Q14" s="31">
        <v>0</v>
      </c>
      <c r="R14" s="27">
        <v>10</v>
      </c>
      <c r="S14" s="29">
        <v>9</v>
      </c>
      <c r="T14" s="29">
        <v>2</v>
      </c>
      <c r="U14" s="29">
        <v>3</v>
      </c>
      <c r="V14" s="29">
        <v>3</v>
      </c>
      <c r="W14" s="31">
        <v>2</v>
      </c>
      <c r="X14" s="31">
        <v>2</v>
      </c>
      <c r="Y14" s="31">
        <v>1</v>
      </c>
      <c r="Z14" s="31">
        <v>1</v>
      </c>
      <c r="AA14" s="31">
        <v>2</v>
      </c>
      <c r="AB14" s="31">
        <v>1</v>
      </c>
      <c r="AC14" s="31">
        <v>0</v>
      </c>
      <c r="AD14" s="28">
        <v>2</v>
      </c>
      <c r="AE14" s="31">
        <v>4</v>
      </c>
      <c r="AF14" s="14"/>
      <c r="AG14" s="14"/>
      <c r="AH14" s="14"/>
      <c r="AI14" s="32">
        <v>1</v>
      </c>
      <c r="AJ14" s="29">
        <v>39</v>
      </c>
      <c r="AK14" s="29">
        <v>3</v>
      </c>
      <c r="AL14" s="14"/>
      <c r="AM14" s="14"/>
      <c r="AN14" s="33">
        <v>0</v>
      </c>
      <c r="AO14" s="28">
        <v>0</v>
      </c>
      <c r="AP14" s="27">
        <v>3</v>
      </c>
      <c r="AQ14" s="14">
        <v>1</v>
      </c>
    </row>
    <row r="15" spans="1:43" ht="24" customHeight="1" x14ac:dyDescent="0.25">
      <c r="A15" s="14">
        <v>7</v>
      </c>
      <c r="B15" s="26" t="s">
        <v>77</v>
      </c>
      <c r="C15" s="14"/>
      <c r="D15" s="14" t="s">
        <v>84</v>
      </c>
      <c r="E15" s="14"/>
      <c r="F15" s="27">
        <v>1</v>
      </c>
      <c r="G15" s="28">
        <v>1</v>
      </c>
      <c r="H15" s="3">
        <f t="shared" si="0"/>
        <v>45</v>
      </c>
      <c r="I15" s="29">
        <v>39</v>
      </c>
      <c r="J15" s="29">
        <v>6</v>
      </c>
      <c r="K15" s="29">
        <v>36</v>
      </c>
      <c r="L15" s="29">
        <v>0</v>
      </c>
      <c r="M15" s="30">
        <v>1.73</v>
      </c>
      <c r="N15" s="27">
        <v>11</v>
      </c>
      <c r="O15" s="29">
        <v>34</v>
      </c>
      <c r="P15" s="29">
        <v>0</v>
      </c>
      <c r="Q15" s="31">
        <v>0</v>
      </c>
      <c r="R15" s="27">
        <v>10</v>
      </c>
      <c r="S15" s="29">
        <v>10</v>
      </c>
      <c r="T15" s="29">
        <v>2</v>
      </c>
      <c r="U15" s="29">
        <v>2</v>
      </c>
      <c r="V15" s="29">
        <v>3</v>
      </c>
      <c r="W15" s="31">
        <v>2</v>
      </c>
      <c r="X15" s="31">
        <v>2</v>
      </c>
      <c r="Y15" s="31">
        <v>1</v>
      </c>
      <c r="Z15" s="31">
        <v>1</v>
      </c>
      <c r="AA15" s="31">
        <v>2</v>
      </c>
      <c r="AB15" s="31">
        <v>1</v>
      </c>
      <c r="AC15" s="31">
        <v>1</v>
      </c>
      <c r="AD15" s="28">
        <v>1</v>
      </c>
      <c r="AE15" s="31">
        <v>7</v>
      </c>
      <c r="AF15" s="14"/>
      <c r="AG15" s="14"/>
      <c r="AH15" s="14"/>
      <c r="AI15" s="32">
        <v>1</v>
      </c>
      <c r="AJ15" s="29">
        <v>39</v>
      </c>
      <c r="AK15" s="29">
        <v>6</v>
      </c>
      <c r="AL15" s="14"/>
      <c r="AM15" s="14"/>
      <c r="AN15" s="33">
        <v>1</v>
      </c>
      <c r="AO15" s="28">
        <v>1</v>
      </c>
      <c r="AP15" s="27">
        <v>1</v>
      </c>
      <c r="AQ15" s="14">
        <v>1</v>
      </c>
    </row>
    <row r="16" spans="1:43" ht="24" customHeight="1" x14ac:dyDescent="0.25">
      <c r="A16" s="14">
        <v>8</v>
      </c>
      <c r="B16" s="26" t="s">
        <v>78</v>
      </c>
      <c r="C16" s="14"/>
      <c r="D16" s="14"/>
      <c r="E16" s="14" t="s">
        <v>84</v>
      </c>
      <c r="F16" s="27">
        <v>1</v>
      </c>
      <c r="G16" s="28">
        <v>1</v>
      </c>
      <c r="H16" s="3">
        <f t="shared" si="0"/>
        <v>10</v>
      </c>
      <c r="I16" s="29">
        <v>0</v>
      </c>
      <c r="J16" s="29">
        <v>10</v>
      </c>
      <c r="K16" s="29">
        <v>7</v>
      </c>
      <c r="L16" s="29">
        <v>0</v>
      </c>
      <c r="M16" s="30">
        <v>1.25</v>
      </c>
      <c r="N16" s="27">
        <v>1</v>
      </c>
      <c r="O16" s="29">
        <v>9</v>
      </c>
      <c r="P16" s="29">
        <v>0</v>
      </c>
      <c r="Q16" s="31">
        <v>0</v>
      </c>
      <c r="R16" s="27">
        <v>2</v>
      </c>
      <c r="S16" s="29">
        <v>2</v>
      </c>
      <c r="T16" s="29">
        <v>0</v>
      </c>
      <c r="U16" s="29">
        <v>1</v>
      </c>
      <c r="V16" s="29">
        <v>0</v>
      </c>
      <c r="W16" s="31">
        <v>0</v>
      </c>
      <c r="X16" s="31">
        <v>1</v>
      </c>
      <c r="Y16" s="31">
        <v>1</v>
      </c>
      <c r="Z16" s="31">
        <v>0</v>
      </c>
      <c r="AA16" s="31">
        <v>1</v>
      </c>
      <c r="AB16" s="31">
        <v>0</v>
      </c>
      <c r="AC16" s="31">
        <v>0</v>
      </c>
      <c r="AD16" s="28">
        <v>0</v>
      </c>
      <c r="AE16" s="31">
        <v>3</v>
      </c>
      <c r="AF16" s="14"/>
      <c r="AG16" s="14"/>
      <c r="AH16" s="14"/>
      <c r="AI16" s="32">
        <v>1</v>
      </c>
      <c r="AJ16" s="29">
        <v>0</v>
      </c>
      <c r="AK16" s="29">
        <v>10</v>
      </c>
      <c r="AL16" s="14"/>
      <c r="AM16" s="14"/>
      <c r="AN16" s="33">
        <v>0</v>
      </c>
      <c r="AO16" s="28">
        <v>0</v>
      </c>
      <c r="AP16" s="27">
        <v>2</v>
      </c>
      <c r="AQ16" s="14"/>
    </row>
    <row r="17" spans="1:43" ht="24" customHeight="1" x14ac:dyDescent="0.25">
      <c r="A17" s="14">
        <v>9</v>
      </c>
      <c r="B17" s="26" t="s">
        <v>79</v>
      </c>
      <c r="C17" s="14"/>
      <c r="D17" s="14" t="s">
        <v>84</v>
      </c>
      <c r="E17" s="14"/>
      <c r="F17" s="27">
        <v>1</v>
      </c>
      <c r="G17" s="28">
        <v>1</v>
      </c>
      <c r="H17" s="3">
        <f t="shared" si="0"/>
        <v>30</v>
      </c>
      <c r="I17" s="29">
        <v>26</v>
      </c>
      <c r="J17" s="29">
        <v>4</v>
      </c>
      <c r="K17" s="29">
        <v>27</v>
      </c>
      <c r="L17" s="29">
        <v>0</v>
      </c>
      <c r="M17" s="30">
        <v>1.76</v>
      </c>
      <c r="N17" s="27">
        <v>6</v>
      </c>
      <c r="O17" s="29">
        <v>24</v>
      </c>
      <c r="P17" s="29">
        <v>0</v>
      </c>
      <c r="Q17" s="31">
        <v>0</v>
      </c>
      <c r="R17" s="27">
        <v>6</v>
      </c>
      <c r="S17" s="29">
        <v>7</v>
      </c>
      <c r="T17" s="29">
        <v>1</v>
      </c>
      <c r="U17" s="29">
        <v>2</v>
      </c>
      <c r="V17" s="29">
        <v>3</v>
      </c>
      <c r="W17" s="31">
        <v>1</v>
      </c>
      <c r="X17" s="31">
        <v>1</v>
      </c>
      <c r="Y17" s="31">
        <v>1</v>
      </c>
      <c r="Z17" s="31">
        <v>1</v>
      </c>
      <c r="AA17" s="31">
        <v>2</v>
      </c>
      <c r="AB17" s="31">
        <v>1</v>
      </c>
      <c r="AC17" s="31">
        <v>0</v>
      </c>
      <c r="AD17" s="28">
        <v>1</v>
      </c>
      <c r="AE17" s="31">
        <v>3</v>
      </c>
      <c r="AF17" s="14"/>
      <c r="AG17" s="14"/>
      <c r="AH17" s="14"/>
      <c r="AI17" s="32">
        <v>1</v>
      </c>
      <c r="AJ17" s="29">
        <v>26</v>
      </c>
      <c r="AK17" s="29">
        <v>4</v>
      </c>
      <c r="AL17" s="14"/>
      <c r="AM17" s="14"/>
      <c r="AN17" s="33">
        <v>1</v>
      </c>
      <c r="AO17" s="28">
        <v>1</v>
      </c>
      <c r="AP17" s="27">
        <v>3</v>
      </c>
      <c r="AQ17" s="14"/>
    </row>
    <row r="18" spans="1:43" ht="24" customHeight="1" x14ac:dyDescent="0.25">
      <c r="A18" s="14">
        <v>10</v>
      </c>
      <c r="B18" s="26" t="s">
        <v>80</v>
      </c>
      <c r="C18" s="14"/>
      <c r="D18" s="14"/>
      <c r="E18" s="14" t="s">
        <v>84</v>
      </c>
      <c r="F18" s="27">
        <v>1</v>
      </c>
      <c r="G18" s="28">
        <v>1</v>
      </c>
      <c r="H18" s="3">
        <f t="shared" si="0"/>
        <v>11</v>
      </c>
      <c r="I18" s="29">
        <v>7</v>
      </c>
      <c r="J18" s="29">
        <v>4</v>
      </c>
      <c r="K18" s="29">
        <v>9</v>
      </c>
      <c r="L18" s="29">
        <v>0</v>
      </c>
      <c r="M18" s="30">
        <v>2.2000000000000002</v>
      </c>
      <c r="N18" s="27">
        <v>3</v>
      </c>
      <c r="O18" s="29">
        <v>8</v>
      </c>
      <c r="P18" s="29">
        <v>0</v>
      </c>
      <c r="Q18" s="31">
        <v>0</v>
      </c>
      <c r="R18" s="27">
        <v>2</v>
      </c>
      <c r="S18" s="29">
        <v>2</v>
      </c>
      <c r="T18" s="29">
        <v>0</v>
      </c>
      <c r="U18" s="29">
        <v>1</v>
      </c>
      <c r="V18" s="29">
        <v>0</v>
      </c>
      <c r="W18" s="31">
        <v>1</v>
      </c>
      <c r="X18" s="31">
        <v>0</v>
      </c>
      <c r="Y18" s="31">
        <v>1</v>
      </c>
      <c r="Z18" s="31">
        <v>1</v>
      </c>
      <c r="AA18" s="31">
        <v>1</v>
      </c>
      <c r="AB18" s="31">
        <v>0</v>
      </c>
      <c r="AC18" s="31">
        <v>0</v>
      </c>
      <c r="AD18" s="28">
        <v>1</v>
      </c>
      <c r="AE18" s="31">
        <v>1</v>
      </c>
      <c r="AF18" s="14"/>
      <c r="AG18" s="14"/>
      <c r="AH18" s="14"/>
      <c r="AI18" s="32">
        <v>1</v>
      </c>
      <c r="AJ18" s="29">
        <v>7</v>
      </c>
      <c r="AK18" s="29">
        <v>4</v>
      </c>
      <c r="AL18" s="14"/>
      <c r="AM18" s="14"/>
      <c r="AN18" s="33">
        <v>0</v>
      </c>
      <c r="AO18" s="28">
        <v>0</v>
      </c>
      <c r="AP18" s="27">
        <v>2</v>
      </c>
      <c r="AQ18" s="14"/>
    </row>
    <row r="19" spans="1:43" ht="28.15" customHeight="1" x14ac:dyDescent="0.25">
      <c r="A19" s="38" t="s">
        <v>69</v>
      </c>
      <c r="B19" s="39"/>
      <c r="C19" s="2">
        <f>SUM(C9:C18)</f>
        <v>0</v>
      </c>
      <c r="D19" s="2">
        <f t="shared" ref="D19:AQ19" si="1">SUM(D9:D18)</f>
        <v>0</v>
      </c>
      <c r="E19" s="2">
        <f t="shared" si="1"/>
        <v>0</v>
      </c>
      <c r="F19" s="2">
        <f t="shared" si="1"/>
        <v>10</v>
      </c>
      <c r="G19" s="2">
        <f t="shared" si="1"/>
        <v>11</v>
      </c>
      <c r="H19" s="2">
        <f t="shared" si="1"/>
        <v>353</v>
      </c>
      <c r="I19" s="2">
        <f t="shared" si="1"/>
        <v>310</v>
      </c>
      <c r="J19" s="2">
        <f t="shared" si="1"/>
        <v>43</v>
      </c>
      <c r="K19" s="2">
        <f t="shared" si="1"/>
        <v>259</v>
      </c>
      <c r="L19" s="2">
        <f t="shared" si="1"/>
        <v>1</v>
      </c>
      <c r="M19" s="10"/>
      <c r="N19" s="2">
        <f t="shared" si="1"/>
        <v>85</v>
      </c>
      <c r="O19" s="2">
        <f t="shared" si="1"/>
        <v>266</v>
      </c>
      <c r="P19" s="2">
        <f t="shared" si="1"/>
        <v>2</v>
      </c>
      <c r="Q19" s="2">
        <f t="shared" si="1"/>
        <v>0</v>
      </c>
      <c r="R19" s="2">
        <f t="shared" si="1"/>
        <v>70</v>
      </c>
      <c r="S19" s="2">
        <f t="shared" si="1"/>
        <v>69</v>
      </c>
      <c r="T19" s="2">
        <f t="shared" si="1"/>
        <v>17</v>
      </c>
      <c r="U19" s="2">
        <f t="shared" si="1"/>
        <v>17</v>
      </c>
      <c r="V19" s="2">
        <f t="shared" si="1"/>
        <v>21</v>
      </c>
      <c r="W19" s="2">
        <f t="shared" si="1"/>
        <v>14</v>
      </c>
      <c r="X19" s="2">
        <f t="shared" si="1"/>
        <v>18</v>
      </c>
      <c r="Y19" s="2">
        <f t="shared" si="1"/>
        <v>11</v>
      </c>
      <c r="Z19" s="2">
        <f t="shared" si="1"/>
        <v>9</v>
      </c>
      <c r="AA19" s="2">
        <f t="shared" si="1"/>
        <v>21</v>
      </c>
      <c r="AB19" s="2">
        <f t="shared" si="1"/>
        <v>9</v>
      </c>
      <c r="AC19" s="2">
        <f t="shared" si="1"/>
        <v>4</v>
      </c>
      <c r="AD19" s="2">
        <f t="shared" si="1"/>
        <v>12</v>
      </c>
      <c r="AE19" s="2">
        <f t="shared" si="1"/>
        <v>44</v>
      </c>
      <c r="AF19" s="2">
        <f t="shared" si="1"/>
        <v>0</v>
      </c>
      <c r="AG19" s="2">
        <f t="shared" si="1"/>
        <v>2</v>
      </c>
      <c r="AH19" s="2">
        <f t="shared" si="1"/>
        <v>0</v>
      </c>
      <c r="AI19" s="2">
        <f t="shared" si="1"/>
        <v>10</v>
      </c>
      <c r="AJ19" s="2">
        <f t="shared" si="1"/>
        <v>310</v>
      </c>
      <c r="AK19" s="2">
        <f t="shared" si="1"/>
        <v>43</v>
      </c>
      <c r="AL19" s="2">
        <f t="shared" si="1"/>
        <v>0</v>
      </c>
      <c r="AM19" s="2">
        <f t="shared" si="1"/>
        <v>0</v>
      </c>
      <c r="AN19" s="2">
        <f t="shared" si="1"/>
        <v>6</v>
      </c>
      <c r="AO19" s="2">
        <f t="shared" si="1"/>
        <v>5</v>
      </c>
      <c r="AP19" s="2">
        <f t="shared" si="1"/>
        <v>20</v>
      </c>
      <c r="AQ19" s="2">
        <f t="shared" si="1"/>
        <v>6</v>
      </c>
    </row>
    <row r="20" spans="1:43" ht="22.5" customHeight="1" x14ac:dyDescent="0.25">
      <c r="A20" s="36" t="s">
        <v>53</v>
      </c>
      <c r="B20" s="36"/>
      <c r="C20" s="36"/>
      <c r="D20" s="36"/>
      <c r="E20" s="36"/>
      <c r="F20" s="36"/>
      <c r="G20" s="36"/>
      <c r="H20" s="36"/>
      <c r="I20" s="36"/>
      <c r="J20" s="36"/>
      <c r="K20" s="15" t="s">
        <v>54</v>
      </c>
      <c r="L20" s="16" t="s">
        <v>55</v>
      </c>
    </row>
    <row r="21" spans="1:43" ht="22.5" customHeight="1" x14ac:dyDescent="0.25">
      <c r="A21" s="37" t="s">
        <v>56</v>
      </c>
      <c r="B21" s="37"/>
      <c r="C21" s="37"/>
      <c r="D21" s="37"/>
      <c r="E21" s="37"/>
      <c r="F21" s="37"/>
      <c r="G21" s="37"/>
      <c r="H21" s="37"/>
      <c r="I21" s="37"/>
      <c r="J21" s="37"/>
      <c r="K21" s="1">
        <f>SUM(N19:P19)</f>
        <v>353</v>
      </c>
      <c r="L21" s="1">
        <f>K21/H19%</f>
        <v>100</v>
      </c>
      <c r="AG21" s="17"/>
      <c r="AH21" s="17"/>
      <c r="AI21" s="17"/>
      <c r="AJ21" s="17"/>
      <c r="AK21" s="17"/>
      <c r="AL21" s="17"/>
      <c r="AM21" s="17"/>
    </row>
    <row r="22" spans="1:43" ht="22.5" customHeight="1" x14ac:dyDescent="0.3">
      <c r="A22" s="37" t="s">
        <v>57</v>
      </c>
      <c r="B22" s="37"/>
      <c r="C22" s="37"/>
      <c r="D22" s="37"/>
      <c r="E22" s="37"/>
      <c r="F22" s="37"/>
      <c r="G22" s="37"/>
      <c r="H22" s="37"/>
      <c r="I22" s="37"/>
      <c r="J22" s="37"/>
      <c r="K22" s="1">
        <f>SUM(N19:O19)</f>
        <v>351</v>
      </c>
      <c r="L22" s="1">
        <f>K22/H19%</f>
        <v>99.43342776203967</v>
      </c>
      <c r="P22" s="18"/>
      <c r="Q22" s="17"/>
      <c r="R22" s="17"/>
      <c r="S22" s="17"/>
      <c r="T22" s="17"/>
      <c r="U22" s="17"/>
      <c r="AG22" s="18"/>
      <c r="AH22" s="17"/>
      <c r="AI22" s="17"/>
      <c r="AJ22" s="17"/>
      <c r="AK22" s="17"/>
      <c r="AL22" s="17"/>
      <c r="AM22" s="17"/>
    </row>
    <row r="23" spans="1:43" ht="22.5" customHeight="1" x14ac:dyDescent="0.3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1">
        <f>SUM(AJ19:AL19)</f>
        <v>353</v>
      </c>
      <c r="L23" s="1">
        <f>K23/H19%</f>
        <v>100</v>
      </c>
      <c r="P23" s="17"/>
      <c r="Q23" s="17"/>
      <c r="R23" s="17"/>
      <c r="S23" s="17"/>
      <c r="T23" s="17"/>
      <c r="U23" s="17"/>
      <c r="AI23" s="18"/>
      <c r="AJ23" s="17"/>
      <c r="AK23" s="17"/>
      <c r="AL23" s="17"/>
      <c r="AM23" s="17"/>
    </row>
    <row r="24" spans="1:43" ht="6" customHeight="1" x14ac:dyDescent="0.25">
      <c r="AG24" s="17"/>
      <c r="AH24" s="17"/>
      <c r="AI24" s="17"/>
      <c r="AJ24" s="17"/>
      <c r="AK24" s="17"/>
      <c r="AL24" s="17"/>
      <c r="AM24" s="17"/>
    </row>
    <row r="25" spans="1:43" s="19" customFormat="1" ht="15" customHeight="1" x14ac:dyDescent="0.3">
      <c r="K25" s="20"/>
      <c r="L25" s="20"/>
      <c r="M25" s="20"/>
      <c r="N25" s="20"/>
      <c r="O25" s="21"/>
      <c r="P25" s="21"/>
      <c r="Q25" s="20"/>
      <c r="AB25" s="72" t="s">
        <v>83</v>
      </c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3" s="19" customFormat="1" ht="15" customHeight="1" x14ac:dyDescent="0.3">
      <c r="K26" s="20"/>
      <c r="L26" s="20"/>
      <c r="M26" s="22"/>
      <c r="N26" s="22"/>
      <c r="O26" s="23"/>
      <c r="P26" s="23"/>
      <c r="Q26" s="20"/>
      <c r="AB26" s="35" t="s">
        <v>66</v>
      </c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</row>
    <row r="27" spans="1:43" s="19" customFormat="1" ht="15" customHeight="1" x14ac:dyDescent="0.3">
      <c r="F27" s="34" t="s">
        <v>60</v>
      </c>
      <c r="G27" s="34"/>
      <c r="H27" s="34"/>
      <c r="I27" s="34"/>
      <c r="J27" s="34"/>
      <c r="K27" s="34"/>
      <c r="L27" s="34"/>
      <c r="R27" s="24"/>
      <c r="S27" s="24"/>
      <c r="T27" s="24"/>
      <c r="U27" s="24"/>
      <c r="V27" s="24"/>
      <c r="W27" s="24"/>
      <c r="X27" s="24"/>
      <c r="AB27" s="35" t="s">
        <v>67</v>
      </c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</row>
    <row r="28" spans="1:43" s="19" customFormat="1" ht="15" customHeight="1" x14ac:dyDescent="0.3">
      <c r="K28" s="20"/>
      <c r="L28" s="20"/>
      <c r="R28" s="25"/>
      <c r="S28" s="25"/>
      <c r="T28" s="25"/>
      <c r="U28" s="25"/>
      <c r="V28" s="25"/>
      <c r="W28" s="25"/>
      <c r="X28" s="25"/>
      <c r="AB28" s="73" t="s">
        <v>68</v>
      </c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</row>
    <row r="29" spans="1:43" s="19" customFormat="1" ht="15" customHeight="1" x14ac:dyDescent="0.3">
      <c r="K29" s="20"/>
      <c r="L29" s="20"/>
      <c r="S29" s="20"/>
      <c r="T29" s="20"/>
      <c r="U29" s="20"/>
      <c r="V29" s="20"/>
      <c r="AD29" s="20"/>
      <c r="AE29" s="20"/>
      <c r="AF29" s="20"/>
      <c r="AG29" s="20"/>
      <c r="AH29" s="20"/>
    </row>
    <row r="30" spans="1:43" s="19" customFormat="1" ht="15" customHeight="1" x14ac:dyDescent="0.3">
      <c r="K30" s="20"/>
      <c r="L30" s="20"/>
      <c r="S30" s="20"/>
      <c r="T30" s="20"/>
      <c r="U30" s="20"/>
      <c r="V30" s="20"/>
      <c r="AD30" s="20"/>
      <c r="AE30" s="20"/>
      <c r="AF30" s="20"/>
      <c r="AG30" s="20"/>
      <c r="AH30" s="20"/>
    </row>
    <row r="31" spans="1:43" s="19" customFormat="1" ht="15" customHeight="1" x14ac:dyDescent="0.3">
      <c r="K31" s="20"/>
      <c r="L31" s="20"/>
      <c r="S31" s="20"/>
      <c r="T31" s="20"/>
      <c r="U31" s="20"/>
      <c r="V31" s="20"/>
      <c r="AD31" s="20"/>
      <c r="AE31" s="20"/>
      <c r="AF31" s="20"/>
      <c r="AG31" s="20"/>
      <c r="AH31" s="20"/>
    </row>
    <row r="32" spans="1:43" s="19" customFormat="1" ht="15" customHeight="1" x14ac:dyDescent="0.3">
      <c r="K32" s="20"/>
      <c r="L32" s="20"/>
      <c r="S32" s="20"/>
      <c r="T32" s="20"/>
      <c r="U32" s="20"/>
      <c r="V32" s="20"/>
    </row>
    <row r="33" spans="6:42" s="19" customFormat="1" ht="15" customHeight="1" x14ac:dyDescent="0.3">
      <c r="F33" s="35" t="s">
        <v>82</v>
      </c>
      <c r="G33" s="35"/>
      <c r="H33" s="35"/>
      <c r="I33" s="35"/>
      <c r="J33" s="35"/>
      <c r="K33" s="35"/>
      <c r="L33" s="35"/>
      <c r="R33" s="24"/>
      <c r="S33" s="24"/>
      <c r="T33" s="24"/>
      <c r="U33" s="24"/>
      <c r="V33" s="24"/>
      <c r="W33" s="24"/>
      <c r="X33" s="24"/>
      <c r="AB33" s="35" t="s">
        <v>81</v>
      </c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</row>
    <row r="34" spans="6:42" s="19" customFormat="1" ht="15" customHeight="1" x14ac:dyDescent="0.3"/>
  </sheetData>
  <sheetProtection password="ED8D" sheet="1"/>
  <mergeCells count="60">
    <mergeCell ref="AB33:AP33"/>
    <mergeCell ref="A2:F2"/>
    <mergeCell ref="A3:F3"/>
    <mergeCell ref="AB26:AP26"/>
    <mergeCell ref="AB25:AP25"/>
    <mergeCell ref="AB27:AP27"/>
    <mergeCell ref="AB28:AP28"/>
    <mergeCell ref="C6:C7"/>
    <mergeCell ref="D6:D7"/>
    <mergeCell ref="E6:E7"/>
    <mergeCell ref="S6:S7"/>
    <mergeCell ref="F5:F7"/>
    <mergeCell ref="M5:M7"/>
    <mergeCell ref="G5:G7"/>
    <mergeCell ref="Q6:Q7"/>
    <mergeCell ref="C5:E5"/>
    <mergeCell ref="G3:AI3"/>
    <mergeCell ref="W6:X6"/>
    <mergeCell ref="Y6:AA6"/>
    <mergeCell ref="AN5:AN7"/>
    <mergeCell ref="AI5:AI7"/>
    <mergeCell ref="R5:AH5"/>
    <mergeCell ref="AJ5:AM5"/>
    <mergeCell ref="AM6:AM7"/>
    <mergeCell ref="F4:G4"/>
    <mergeCell ref="R6:R7"/>
    <mergeCell ref="AQ5:AQ7"/>
    <mergeCell ref="AN4:AQ4"/>
    <mergeCell ref="N6:N7"/>
    <mergeCell ref="O6:O7"/>
    <mergeCell ref="P6:P7"/>
    <mergeCell ref="H5:H7"/>
    <mergeCell ref="AO5:AO7"/>
    <mergeCell ref="AB6:AB7"/>
    <mergeCell ref="AC6:AC7"/>
    <mergeCell ref="T6:V6"/>
    <mergeCell ref="AM1:AP1"/>
    <mergeCell ref="AJ6:AJ7"/>
    <mergeCell ref="AK6:AK7"/>
    <mergeCell ref="AL6:AL7"/>
    <mergeCell ref="AE6:AH6"/>
    <mergeCell ref="I5:I7"/>
    <mergeCell ref="AD6:AD7"/>
    <mergeCell ref="AP5:AP7"/>
    <mergeCell ref="H4:AM4"/>
    <mergeCell ref="G2:AI2"/>
    <mergeCell ref="A19:B19"/>
    <mergeCell ref="J5:J7"/>
    <mergeCell ref="K5:K7"/>
    <mergeCell ref="L5:L7"/>
    <mergeCell ref="A4:A7"/>
    <mergeCell ref="N5:Q5"/>
    <mergeCell ref="B4:E4"/>
    <mergeCell ref="B5:B7"/>
    <mergeCell ref="F27:L27"/>
    <mergeCell ref="F33:L33"/>
    <mergeCell ref="A20:J20"/>
    <mergeCell ref="A21:J21"/>
    <mergeCell ref="A22:J22"/>
    <mergeCell ref="A23:J23"/>
  </mergeCells>
  <phoneticPr fontId="15" type="noConversion"/>
  <pageMargins left="0.25" right="0.25" top="0.5" bottom="0.5" header="0.25" footer="0.25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đội ngũ giáo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2025-12-16T14:00:27Z</cp:lastPrinted>
  <dcterms:created xsi:type="dcterms:W3CDTF">2026-04-01T07:59:27Z</dcterms:created>
  <dcterms:modified xsi:type="dcterms:W3CDTF">2026-08-11T09:28:55Z</dcterms:modified>
</cp:coreProperties>
</file>