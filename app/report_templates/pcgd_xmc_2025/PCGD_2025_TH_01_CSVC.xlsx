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Biểu mẫu\Biểu mẫu\Tiểu học\"/>
    </mc:Choice>
  </mc:AlternateContent>
  <xr:revisionPtr revIDLastSave="0" documentId="8_{9F48C613-2AFC-402F-89B7-68BEFD909DDE}" xr6:coauthVersionLast="47" xr6:coauthVersionMax="47" xr10:uidLastSave="{00000000-0000-0000-0000-000000000000}"/>
  <bookViews>
    <workbookView showHorizontalScroll="0" showVerticalScroll="0" showSheetTabs="0" xWindow="1860" yWindow="1860" windowWidth="16920" windowHeight="10450" xr2:uid="{63885361-655F-412D-9431-F43744A3C0D8}"/>
  </bookViews>
  <sheets>
    <sheet name="Thống kê cơ sở vật chấ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1" l="1"/>
  <c r="J11" i="1"/>
  <c r="J12" i="1"/>
  <c r="J13" i="1"/>
  <c r="J9" i="1"/>
  <c r="J14" i="1"/>
  <c r="J15" i="1"/>
  <c r="J16" i="1"/>
  <c r="J17" i="1"/>
  <c r="J8" i="1"/>
  <c r="D18" i="1"/>
  <c r="E18" i="1"/>
  <c r="F18" i="1"/>
  <c r="G18" i="1"/>
  <c r="J18" i="1" s="1"/>
  <c r="H18" i="1"/>
  <c r="I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C18" i="1"/>
</calcChain>
</file>

<file path=xl/sharedStrings.xml><?xml version="1.0" encoding="utf-8"?>
<sst xmlns="http://schemas.openxmlformats.org/spreadsheetml/2006/main" count="68" uniqueCount="51">
  <si>
    <t>THỐNG KÊ CƠ SỞ VẬT CHẤT PHỔ CẬP GIÁO DỤC TIỂU HỌC</t>
  </si>
  <si>
    <t>Mẫu: TH-01-CSVC</t>
  </si>
  <si>
    <t>TT</t>
  </si>
  <si>
    <t>Trường</t>
  </si>
  <si>
    <t>Số Đ.Tr</t>
  </si>
  <si>
    <t>Số lớp</t>
  </si>
  <si>
    <t>Số phòng học</t>
  </si>
  <si>
    <t>Số phòng chức năng</t>
  </si>
  <si>
    <t>Công trình VS</t>
  </si>
  <si>
    <t>Sân chơi</t>
  </si>
  <si>
    <t>Bãi tập</t>
  </si>
  <si>
    <t>Tổng số</t>
  </si>
  <si>
    <t>Lớp ghép</t>
  </si>
  <si>
    <t>Kiên cố</t>
  </si>
  <si>
    <t>Bán kiên cố</t>
  </si>
  <si>
    <t>Tạm</t>
  </si>
  <si>
    <t>Thuê/mượn</t>
  </si>
  <si>
    <t>Tỉ lệ Ph/Lớp</t>
  </si>
  <si>
    <t>HTr</t>
  </si>
  <si>
    <t>PHT</t>
  </si>
  <si>
    <t>VP</t>
  </si>
  <si>
    <t>Y tế</t>
  </si>
  <si>
    <t>TT
HĐ 
Đội</t>
  </si>
  <si>
    <t>P.họp</t>
  </si>
  <si>
    <t>T.Viện</t>
  </si>
  <si>
    <t>Thiết bị</t>
  </si>
  <si>
    <t>GV</t>
  </si>
  <si>
    <t>HS</t>
  </si>
  <si>
    <t>SL</t>
  </si>
  <si>
    <t>DT</t>
  </si>
  <si>
    <t>Tỉnh: Nghệ An</t>
  </si>
  <si>
    <t>NGƯỜI LẬP BIỂU</t>
  </si>
  <si>
    <t>Tại thời điểm: ngày 30 tháng 9 năm 2025</t>
  </si>
  <si>
    <t xml:space="preserve">Cộng xã: </t>
  </si>
  <si>
    <t>PHÓ CHỦ TỊCH</t>
  </si>
  <si>
    <t>XÁC NHẬN CỦA UBND XÃ/PHƯỜNG</t>
  </si>
  <si>
    <t>(Kí tên, đóng dấu)</t>
  </si>
  <si>
    <t>phường Thành Vinh</t>
  </si>
  <si>
    <t>TH Hưng Binh</t>
  </si>
  <si>
    <t>TH Đội Cung</t>
  </si>
  <si>
    <t>TH Cửa Nam 1</t>
  </si>
  <si>
    <t>TH Cửa Nam 2</t>
  </si>
  <si>
    <t>TH Đông Vĩnh</t>
  </si>
  <si>
    <t>TH Hưng Chính</t>
  </si>
  <si>
    <t>TH Lê Mao</t>
  </si>
  <si>
    <t>TH Quang Trung</t>
  </si>
  <si>
    <t>TH Lê Lợi</t>
  </si>
  <si>
    <t>PT Blue Sky</t>
  </si>
  <si>
    <t>Thành Vinh, ngày      tháng        năm 2025</t>
  </si>
  <si>
    <t>Nguyễn Quang Vinh</t>
  </si>
  <si>
    <t>Nguyễn Thị Như Quỳnh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</si>
</sst>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_-* #,##0.00\ &quot;₫&quot;_-;\-* #,##0.00\ &quot;₫&quot;_-;_-* &quot;-&quot;??\ &quot;₫&quot;_-;_-@_-"/>
    <numFmt numFmtId="172" formatCode="#,###"/>
  </numFmts>
  <fonts count="17" x14ac:knownFonts="1">
    <font>
      <sz val="10"/>
      <color indexed="8"/>
      <name val="Arial"/>
    </font>
    <font>
      <b/>
      <sz val="10"/>
      <color indexed="8"/>
      <name val="Arial"/>
    </font>
    <font>
      <sz val="8"/>
      <color indexed="8"/>
      <name val="Arial"/>
    </font>
    <font>
      <b/>
      <i/>
      <sz val="10"/>
      <color indexed="8"/>
      <name val="Arial"/>
    </font>
    <font>
      <b/>
      <sz val="8"/>
      <color indexed="8"/>
      <name val="Arial"/>
      <family val="2"/>
    </font>
    <font>
      <sz val="12"/>
      <color indexed="8"/>
      <name val="Arial"/>
      <family val="2"/>
    </font>
    <font>
      <b/>
      <sz val="10"/>
      <name val="Arial"/>
      <family val="2"/>
    </font>
    <font>
      <b/>
      <i/>
      <sz val="10"/>
      <color indexed="8"/>
      <name val="Arial"/>
      <family val="2"/>
    </font>
    <font>
      <sz val="10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Arial"/>
      <family val="2"/>
    </font>
    <font>
      <i/>
      <sz val="12"/>
      <color indexed="8"/>
      <name val="Times New Roman"/>
      <family val="1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Protection="0"/>
  </cellStyleXfs>
  <cellXfs count="54">
    <xf numFmtId="0" fontId="0" fillId="0" borderId="0" xfId="0" applyFill="1" applyProtection="1"/>
    <xf numFmtId="0" fontId="1" fillId="2" borderId="1" xfId="0" applyFont="1" applyFill="1" applyBorder="1" applyAlignment="1" applyProtection="1">
      <alignment horizontal="center" vertical="center"/>
    </xf>
    <xf numFmtId="0" fontId="13" fillId="2" borderId="1" xfId="0" applyFont="1" applyFill="1" applyBorder="1" applyAlignment="1" applyProtection="1">
      <alignment horizontal="center" vertical="center"/>
    </xf>
    <xf numFmtId="0" fontId="16" fillId="2" borderId="1" xfId="0" applyFont="1" applyFill="1" applyBorder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  <protection locked="0"/>
    </xf>
    <xf numFmtId="0" fontId="0" fillId="0" borderId="0" xfId="0" applyFill="1" applyProtection="1">
      <protection locked="0"/>
    </xf>
    <xf numFmtId="0" fontId="3" fillId="0" borderId="0" xfId="0" applyFont="1" applyFill="1" applyAlignment="1" applyProtection="1">
      <alignment vertical="center"/>
      <protection locked="0"/>
    </xf>
    <xf numFmtId="0" fontId="0" fillId="0" borderId="0" xfId="0" applyFill="1" applyAlignment="1" applyProtection="1">
      <alignment vertical="center"/>
      <protection locked="0"/>
    </xf>
    <xf numFmtId="0" fontId="0" fillId="0" borderId="2" xfId="0" applyFill="1" applyBorder="1" applyAlignment="1" applyProtection="1">
      <alignment vertical="center"/>
      <protection locked="0"/>
    </xf>
    <xf numFmtId="0" fontId="1" fillId="0" borderId="0" xfId="0" applyFont="1" applyFill="1" applyAlignment="1" applyProtection="1">
      <alignment vertical="center"/>
      <protection locked="0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3" xfId="0" applyFon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12" fillId="0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14" fillId="0" borderId="1" xfId="0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Protection="1">
      <protection locked="0"/>
    </xf>
    <xf numFmtId="0" fontId="8" fillId="0" borderId="0" xfId="0" applyFont="1" applyFill="1" applyProtection="1">
      <protection locked="0"/>
    </xf>
    <xf numFmtId="0" fontId="8" fillId="0" borderId="0" xfId="0" applyFont="1" applyFill="1" applyAlignment="1" applyProtection="1">
      <alignment vertical="center"/>
      <protection locked="0"/>
    </xf>
    <xf numFmtId="170" fontId="9" fillId="0" borderId="0" xfId="0" applyNumberFormat="1" applyFont="1" applyFill="1" applyAlignment="1" applyProtection="1">
      <alignment vertical="center"/>
      <protection locked="0"/>
    </xf>
    <xf numFmtId="0" fontId="9" fillId="0" borderId="0" xfId="0" applyFont="1" applyFill="1" applyAlignment="1" applyProtection="1">
      <protection locked="0"/>
    </xf>
    <xf numFmtId="0" fontId="8" fillId="0" borderId="0" xfId="0" applyFont="1" applyFill="1" applyAlignment="1" applyProtection="1">
      <alignment horizontal="center" vertical="center"/>
      <protection locked="0"/>
    </xf>
    <xf numFmtId="170" fontId="10" fillId="0" borderId="0" xfId="0" applyNumberFormat="1" applyFont="1" applyFill="1" applyAlignment="1" applyProtection="1">
      <alignment vertical="center"/>
      <protection locked="0"/>
    </xf>
    <xf numFmtId="0" fontId="11" fillId="0" borderId="0" xfId="0" applyFont="1" applyFill="1" applyAlignment="1" applyProtection="1">
      <alignment vertical="center"/>
      <protection locked="0"/>
    </xf>
    <xf numFmtId="0" fontId="9" fillId="0" borderId="0" xfId="0" applyFont="1" applyFill="1" applyAlignment="1" applyProtection="1">
      <alignment vertical="center"/>
      <protection locked="0"/>
    </xf>
    <xf numFmtId="0" fontId="0" fillId="0" borderId="9" xfId="0" applyFont="1" applyFill="1" applyBorder="1" applyAlignment="1" applyProtection="1">
      <alignment horizontal="left" vertical="center" shrinkToFit="1"/>
      <protection locked="0"/>
    </xf>
    <xf numFmtId="172" fontId="0" fillId="0" borderId="10" xfId="0" applyNumberFormat="1" applyFont="1" applyFill="1" applyBorder="1" applyAlignment="1" applyProtection="1">
      <alignment horizontal="center" vertical="center" shrinkToFit="1"/>
      <protection locked="0"/>
    </xf>
    <xf numFmtId="172" fontId="0" fillId="0" borderId="11" xfId="0" applyNumberFormat="1" applyFont="1" applyFill="1" applyBorder="1" applyAlignment="1" applyProtection="1">
      <alignment horizontal="center" vertical="center" shrinkToFit="1"/>
      <protection locked="0"/>
    </xf>
    <xf numFmtId="172" fontId="0" fillId="0" borderId="12" xfId="0" applyNumberFormat="1" applyFont="1" applyFill="1" applyBorder="1" applyAlignment="1" applyProtection="1">
      <alignment horizontal="center" vertical="center" shrinkToFit="1"/>
      <protection locked="0"/>
    </xf>
    <xf numFmtId="172" fontId="0" fillId="0" borderId="13" xfId="0" applyNumberFormat="1" applyFont="1" applyFill="1" applyBorder="1" applyAlignment="1" applyProtection="1">
      <alignment horizontal="center" vertical="center" shrinkToFit="1"/>
      <protection locked="0"/>
    </xf>
    <xf numFmtId="172" fontId="0" fillId="0" borderId="9" xfId="0" applyNumberFormat="1" applyFont="1" applyFill="1" applyBorder="1" applyAlignment="1" applyProtection="1">
      <alignment horizontal="center" vertical="center" shrinkToFit="1"/>
      <protection locked="0"/>
    </xf>
    <xf numFmtId="0" fontId="11" fillId="0" borderId="0" xfId="0" applyFont="1" applyFill="1" applyAlignment="1" applyProtection="1">
      <alignment horizontal="center" vertical="center"/>
      <protection locked="0"/>
    </xf>
    <xf numFmtId="170" fontId="11" fillId="0" borderId="0" xfId="0" applyNumberFormat="1" applyFont="1" applyFill="1" applyAlignment="1" applyProtection="1">
      <alignment horizontal="center" vertical="center"/>
      <protection locked="0"/>
    </xf>
    <xf numFmtId="0" fontId="15" fillId="0" borderId="0" xfId="0" applyFont="1" applyFill="1" applyAlignment="1" applyProtection="1">
      <alignment horizontal="center"/>
      <protection locked="0"/>
    </xf>
    <xf numFmtId="0" fontId="9" fillId="0" borderId="0" xfId="0" applyFont="1" applyFill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Fill="1" applyAlignment="1" applyProtection="1">
      <alignment horizontal="center" vertical="center"/>
      <protection locked="0"/>
    </xf>
    <xf numFmtId="0" fontId="2" fillId="0" borderId="3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Fill="1" applyAlignment="1" applyProtection="1">
      <alignment horizontal="center" vertical="center"/>
      <protection locked="0"/>
    </xf>
    <xf numFmtId="0" fontId="2" fillId="0" borderId="3" xfId="0" applyFont="1" applyFill="1" applyBorder="1" applyAlignment="1" applyProtection="1">
      <alignment horizontal="center" vertical="center" textRotation="90" wrapText="1"/>
      <protection locked="0"/>
    </xf>
    <xf numFmtId="0" fontId="2" fillId="0" borderId="4" xfId="0" applyFont="1" applyFill="1" applyBorder="1" applyAlignment="1" applyProtection="1">
      <alignment horizontal="center" vertical="center" textRotation="90" wrapText="1"/>
      <protection locked="0"/>
    </xf>
    <xf numFmtId="0" fontId="6" fillId="0" borderId="0" xfId="0" applyFont="1" applyFill="1" applyAlignment="1" applyProtection="1">
      <alignment horizontal="left" vertical="center"/>
      <protection locked="0"/>
    </xf>
    <xf numFmtId="0" fontId="7" fillId="0" borderId="0" xfId="0" applyFont="1" applyFill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horizontal="center" vertical="center"/>
      <protection locked="0"/>
    </xf>
    <xf numFmtId="0" fontId="1" fillId="0" borderId="0" xfId="0" applyFont="1" applyFill="1" applyAlignment="1" applyProtection="1">
      <alignment horizontal="left" vertical="center"/>
      <protection locked="0"/>
    </xf>
    <xf numFmtId="0" fontId="0" fillId="0" borderId="0" xfId="0" applyFill="1" applyAlignment="1" applyProtection="1">
      <alignment horizontal="left" vertical="center" indent="1"/>
      <protection locked="0"/>
    </xf>
    <xf numFmtId="0" fontId="4" fillId="0" borderId="5" xfId="0" applyFont="1" applyFill="1" applyBorder="1" applyAlignment="1" applyProtection="1">
      <alignment horizontal="center" vertical="center" wrapText="1"/>
      <protection locked="0"/>
    </xf>
    <xf numFmtId="0" fontId="4" fillId="0" borderId="6" xfId="0" applyFont="1" applyFill="1" applyBorder="1" applyAlignment="1" applyProtection="1">
      <alignment horizontal="center" vertical="center" wrapText="1"/>
      <protection locked="0"/>
    </xf>
    <xf numFmtId="0" fontId="4" fillId="0" borderId="7" xfId="0" applyFont="1" applyFill="1" applyBorder="1" applyAlignment="1" applyProtection="1">
      <alignment horizontal="center" vertical="center" wrapText="1"/>
      <protection locked="0"/>
    </xf>
    <xf numFmtId="0" fontId="14" fillId="0" borderId="1" xfId="0" applyFont="1" applyFill="1" applyBorder="1" applyAlignment="1" applyProtection="1">
      <alignment horizontal="center" vertical="center" wrapText="1"/>
      <protection locked="0"/>
    </xf>
    <xf numFmtId="0" fontId="14" fillId="0" borderId="3" xfId="0" applyFont="1" applyFill="1" applyBorder="1" applyAlignment="1" applyProtection="1">
      <alignment horizontal="center" vertical="center" wrapText="1"/>
      <protection locked="0"/>
    </xf>
    <xf numFmtId="0" fontId="2" fillId="0" borderId="8" xfId="0" applyFont="1" applyFill="1" applyBorder="1" applyAlignment="1" applyProtection="1">
      <alignment horizontal="center" vertical="center" textRotation="90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42641-1C32-446E-85ED-C5093860C2F0}">
  <dimension ref="A1:AE39"/>
  <sheetViews>
    <sheetView tabSelected="1" workbookViewId="0">
      <selection activeCell="L21" sqref="L21"/>
    </sheetView>
  </sheetViews>
  <sheetFormatPr defaultColWidth="8.81640625" defaultRowHeight="12.75" customHeight="1" x14ac:dyDescent="0.25"/>
  <cols>
    <col min="1" max="1" width="2.7265625" style="5" customWidth="1"/>
    <col min="2" max="2" width="17.1796875" style="5" customWidth="1"/>
    <col min="3" max="16" width="4.453125" style="5" customWidth="1"/>
    <col min="17" max="17" width="5.1796875" style="5" customWidth="1"/>
    <col min="18" max="18" width="4.453125" style="5" customWidth="1"/>
    <col min="19" max="19" width="5.26953125" style="5" customWidth="1"/>
    <col min="20" max="20" width="4.453125" style="5" customWidth="1"/>
    <col min="21" max="21" width="5.7265625" style="5" customWidth="1"/>
    <col min="22" max="22" width="4.453125" style="5" customWidth="1"/>
    <col min="23" max="23" width="5.7265625" style="5" customWidth="1"/>
    <col min="24" max="24" width="4.453125" style="5" customWidth="1"/>
    <col min="25" max="25" width="5.7265625" style="5" customWidth="1"/>
    <col min="26" max="26" width="4.453125" style="5" customWidth="1"/>
    <col min="27" max="27" width="7.7265625" style="5" customWidth="1"/>
    <col min="28" max="28" width="4.453125" style="5" customWidth="1"/>
    <col min="29" max="29" width="8.453125" style="5" customWidth="1"/>
    <col min="30" max="16384" width="8.81640625" style="5"/>
  </cols>
  <sheetData>
    <row r="1" spans="1:29" ht="19.5" customHeight="1" x14ac:dyDescent="0.25">
      <c r="A1" s="43" t="s">
        <v>30</v>
      </c>
      <c r="B1" s="43"/>
      <c r="C1" s="40" t="s">
        <v>0</v>
      </c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38" t="s">
        <v>1</v>
      </c>
      <c r="AA1" s="38"/>
      <c r="AB1" s="38"/>
      <c r="AC1" s="38"/>
    </row>
    <row r="2" spans="1:29" ht="19.5" customHeight="1" x14ac:dyDescent="0.25">
      <c r="A2" s="43" t="s">
        <v>37</v>
      </c>
      <c r="B2" s="43"/>
      <c r="C2" s="44" t="s">
        <v>32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6"/>
      <c r="AA2" s="6"/>
      <c r="AB2" s="6"/>
      <c r="AC2" s="6"/>
    </row>
    <row r="3" spans="1:29" ht="19.5" customHeight="1" x14ac:dyDescent="0.25">
      <c r="A3" s="46"/>
      <c r="B3" s="46"/>
      <c r="C3" s="47"/>
      <c r="D3" s="47"/>
      <c r="E3" s="47"/>
      <c r="F3" s="47"/>
      <c r="G3" s="7"/>
      <c r="H3" s="7"/>
      <c r="I3" s="7"/>
      <c r="J3" s="7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9"/>
      <c r="AA3" s="9"/>
      <c r="AB3" s="9"/>
      <c r="AC3" s="9"/>
    </row>
    <row r="4" spans="1:29" ht="20.25" customHeight="1" x14ac:dyDescent="0.25">
      <c r="A4" s="37" t="s">
        <v>2</v>
      </c>
      <c r="B4" s="51" t="s">
        <v>3</v>
      </c>
      <c r="C4" s="37" t="s">
        <v>4</v>
      </c>
      <c r="D4" s="35" t="s">
        <v>5</v>
      </c>
      <c r="E4" s="35"/>
      <c r="F4" s="48" t="s">
        <v>6</v>
      </c>
      <c r="G4" s="49"/>
      <c r="H4" s="49"/>
      <c r="I4" s="49"/>
      <c r="J4" s="50"/>
      <c r="K4" s="49" t="s">
        <v>7</v>
      </c>
      <c r="L4" s="49"/>
      <c r="M4" s="49"/>
      <c r="N4" s="49"/>
      <c r="O4" s="49"/>
      <c r="P4" s="49"/>
      <c r="Q4" s="49"/>
      <c r="R4" s="49"/>
      <c r="S4" s="49"/>
      <c r="T4" s="49"/>
      <c r="U4" s="49"/>
      <c r="V4" s="48" t="s">
        <v>8</v>
      </c>
      <c r="W4" s="49"/>
      <c r="X4" s="49"/>
      <c r="Y4" s="50"/>
      <c r="Z4" s="35" t="s">
        <v>9</v>
      </c>
      <c r="AA4" s="35"/>
      <c r="AB4" s="35" t="s">
        <v>10</v>
      </c>
      <c r="AC4" s="35"/>
    </row>
    <row r="5" spans="1:29" ht="39.75" customHeight="1" x14ac:dyDescent="0.25">
      <c r="A5" s="37"/>
      <c r="B5" s="51"/>
      <c r="C5" s="37"/>
      <c r="D5" s="41" t="s">
        <v>11</v>
      </c>
      <c r="E5" s="41" t="s">
        <v>12</v>
      </c>
      <c r="F5" s="41" t="s">
        <v>13</v>
      </c>
      <c r="G5" s="41" t="s">
        <v>14</v>
      </c>
      <c r="H5" s="41" t="s">
        <v>15</v>
      </c>
      <c r="I5" s="41" t="s">
        <v>16</v>
      </c>
      <c r="J5" s="41" t="s">
        <v>17</v>
      </c>
      <c r="K5" s="10" t="s">
        <v>18</v>
      </c>
      <c r="L5" s="10" t="s">
        <v>19</v>
      </c>
      <c r="M5" s="10" t="s">
        <v>20</v>
      </c>
      <c r="N5" s="10" t="s">
        <v>21</v>
      </c>
      <c r="O5" s="10" t="s">
        <v>22</v>
      </c>
      <c r="P5" s="37" t="s">
        <v>23</v>
      </c>
      <c r="Q5" s="37"/>
      <c r="R5" s="37" t="s">
        <v>24</v>
      </c>
      <c r="S5" s="37"/>
      <c r="T5" s="37" t="s">
        <v>25</v>
      </c>
      <c r="U5" s="37"/>
      <c r="V5" s="36" t="s">
        <v>26</v>
      </c>
      <c r="W5" s="36"/>
      <c r="X5" s="36" t="s">
        <v>27</v>
      </c>
      <c r="Y5" s="36"/>
      <c r="Z5" s="37" t="s">
        <v>28</v>
      </c>
      <c r="AA5" s="37" t="s">
        <v>29</v>
      </c>
      <c r="AB5" s="37" t="s">
        <v>28</v>
      </c>
      <c r="AC5" s="37" t="s">
        <v>29</v>
      </c>
    </row>
    <row r="6" spans="1:29" ht="21.75" customHeight="1" x14ac:dyDescent="0.25">
      <c r="A6" s="39"/>
      <c r="B6" s="52"/>
      <c r="C6" s="39"/>
      <c r="D6" s="42"/>
      <c r="E6" s="42"/>
      <c r="F6" s="42"/>
      <c r="G6" s="42"/>
      <c r="H6" s="42"/>
      <c r="I6" s="53"/>
      <c r="J6" s="42"/>
      <c r="K6" s="11" t="s">
        <v>28</v>
      </c>
      <c r="L6" s="11" t="s">
        <v>28</v>
      </c>
      <c r="M6" s="11" t="s">
        <v>28</v>
      </c>
      <c r="N6" s="11" t="s">
        <v>28</v>
      </c>
      <c r="O6" s="11" t="s">
        <v>28</v>
      </c>
      <c r="P6" s="11" t="s">
        <v>28</v>
      </c>
      <c r="Q6" s="11" t="s">
        <v>29</v>
      </c>
      <c r="R6" s="11" t="s">
        <v>28</v>
      </c>
      <c r="S6" s="11" t="s">
        <v>29</v>
      </c>
      <c r="T6" s="11" t="s">
        <v>28</v>
      </c>
      <c r="U6" s="11" t="s">
        <v>29</v>
      </c>
      <c r="V6" s="11" t="s">
        <v>28</v>
      </c>
      <c r="W6" s="11" t="s">
        <v>29</v>
      </c>
      <c r="X6" s="11" t="s">
        <v>28</v>
      </c>
      <c r="Y6" s="11" t="s">
        <v>29</v>
      </c>
      <c r="Z6" s="39"/>
      <c r="AA6" s="39"/>
      <c r="AB6" s="39"/>
      <c r="AC6" s="39"/>
    </row>
    <row r="7" spans="1:29" s="4" customFormat="1" ht="20.25" customHeight="1" x14ac:dyDescent="0.25">
      <c r="A7" s="10">
        <v>1</v>
      </c>
      <c r="B7" s="10">
        <v>2</v>
      </c>
      <c r="C7" s="10">
        <v>3</v>
      </c>
      <c r="D7" s="10">
        <v>4</v>
      </c>
      <c r="E7" s="10">
        <v>5</v>
      </c>
      <c r="F7" s="10">
        <v>6</v>
      </c>
      <c r="G7" s="10">
        <v>7</v>
      </c>
      <c r="H7" s="10">
        <v>8</v>
      </c>
      <c r="I7" s="10"/>
      <c r="J7" s="10">
        <v>9</v>
      </c>
      <c r="K7" s="10">
        <v>10</v>
      </c>
      <c r="L7" s="10">
        <v>11</v>
      </c>
      <c r="M7" s="10">
        <v>12</v>
      </c>
      <c r="N7" s="10">
        <v>13</v>
      </c>
      <c r="O7" s="10">
        <v>14</v>
      </c>
      <c r="P7" s="10">
        <v>15</v>
      </c>
      <c r="Q7" s="10">
        <v>16</v>
      </c>
      <c r="R7" s="10">
        <v>17</v>
      </c>
      <c r="S7" s="10">
        <v>18</v>
      </c>
      <c r="T7" s="10">
        <v>19</v>
      </c>
      <c r="U7" s="10">
        <v>20</v>
      </c>
      <c r="V7" s="10">
        <v>21</v>
      </c>
      <c r="W7" s="10">
        <v>22</v>
      </c>
      <c r="X7" s="10">
        <v>23</v>
      </c>
      <c r="Y7" s="10">
        <v>24</v>
      </c>
      <c r="Z7" s="10">
        <v>25</v>
      </c>
      <c r="AA7" s="10">
        <v>26</v>
      </c>
      <c r="AB7" s="10">
        <v>27</v>
      </c>
      <c r="AC7" s="10">
        <v>28</v>
      </c>
    </row>
    <row r="8" spans="1:29" s="4" customFormat="1" ht="20.25" customHeight="1" x14ac:dyDescent="0.25">
      <c r="A8" s="12">
        <v>1</v>
      </c>
      <c r="B8" s="25" t="s">
        <v>38</v>
      </c>
      <c r="C8" s="13"/>
      <c r="D8" s="26">
        <v>45</v>
      </c>
      <c r="E8" s="27">
        <v>0</v>
      </c>
      <c r="F8" s="26">
        <v>51</v>
      </c>
      <c r="G8" s="28">
        <v>0</v>
      </c>
      <c r="H8" s="29">
        <v>0</v>
      </c>
      <c r="I8" s="30">
        <v>0</v>
      </c>
      <c r="J8" s="2">
        <f>SUM(F8:I8)/D8</f>
        <v>1.1333333333333333</v>
      </c>
      <c r="K8" s="30">
        <v>1</v>
      </c>
      <c r="L8" s="30">
        <v>1</v>
      </c>
      <c r="M8" s="26">
        <v>1</v>
      </c>
      <c r="N8" s="26">
        <v>1</v>
      </c>
      <c r="O8" s="26">
        <v>1</v>
      </c>
      <c r="P8" s="26">
        <v>1</v>
      </c>
      <c r="Q8" s="27">
        <v>48</v>
      </c>
      <c r="R8" s="26">
        <v>1</v>
      </c>
      <c r="S8" s="27">
        <v>48</v>
      </c>
      <c r="T8" s="26">
        <v>1</v>
      </c>
      <c r="U8" s="27">
        <v>48</v>
      </c>
      <c r="V8" s="26">
        <v>2</v>
      </c>
      <c r="W8" s="27">
        <v>40</v>
      </c>
      <c r="X8" s="26">
        <v>8</v>
      </c>
      <c r="Y8" s="27">
        <v>180</v>
      </c>
      <c r="Z8" s="26">
        <v>3</v>
      </c>
      <c r="AA8" s="27">
        <v>1800</v>
      </c>
      <c r="AB8" s="26">
        <v>1</v>
      </c>
      <c r="AC8" s="27">
        <v>400</v>
      </c>
    </row>
    <row r="9" spans="1:29" s="4" customFormat="1" ht="20.25" customHeight="1" x14ac:dyDescent="0.25">
      <c r="A9" s="12">
        <v>2</v>
      </c>
      <c r="B9" s="25" t="s">
        <v>39</v>
      </c>
      <c r="C9" s="13"/>
      <c r="D9" s="26">
        <v>25</v>
      </c>
      <c r="E9" s="27">
        <v>0</v>
      </c>
      <c r="F9" s="26">
        <v>30</v>
      </c>
      <c r="G9" s="28">
        <v>0</v>
      </c>
      <c r="H9" s="29">
        <v>0</v>
      </c>
      <c r="I9" s="30">
        <v>0</v>
      </c>
      <c r="J9" s="2">
        <f t="shared" ref="J9:J18" si="0">SUM(F9:I9)/D9</f>
        <v>1.2</v>
      </c>
      <c r="K9" s="30">
        <v>1</v>
      </c>
      <c r="L9" s="30">
        <v>1</v>
      </c>
      <c r="M9" s="26">
        <v>1</v>
      </c>
      <c r="N9" s="26">
        <v>1</v>
      </c>
      <c r="O9" s="26">
        <v>1</v>
      </c>
      <c r="P9" s="26">
        <v>1</v>
      </c>
      <c r="Q9" s="27">
        <v>72</v>
      </c>
      <c r="R9" s="26">
        <v>1</v>
      </c>
      <c r="S9" s="27">
        <v>35</v>
      </c>
      <c r="T9" s="26">
        <v>1</v>
      </c>
      <c r="U9" s="27">
        <v>35</v>
      </c>
      <c r="V9" s="26">
        <v>2</v>
      </c>
      <c r="W9" s="27">
        <v>60</v>
      </c>
      <c r="X9" s="26">
        <v>8</v>
      </c>
      <c r="Y9" s="27">
        <v>112</v>
      </c>
      <c r="Z9" s="26">
        <v>1</v>
      </c>
      <c r="AA9" s="27">
        <v>800</v>
      </c>
      <c r="AB9" s="26">
        <v>1</v>
      </c>
      <c r="AC9" s="27">
        <v>200</v>
      </c>
    </row>
    <row r="10" spans="1:29" s="4" customFormat="1" ht="20.25" customHeight="1" x14ac:dyDescent="0.25">
      <c r="A10" s="12">
        <v>3</v>
      </c>
      <c r="B10" s="25" t="s">
        <v>40</v>
      </c>
      <c r="C10" s="13"/>
      <c r="D10" s="26">
        <v>23</v>
      </c>
      <c r="E10" s="27">
        <v>0</v>
      </c>
      <c r="F10" s="26">
        <v>25</v>
      </c>
      <c r="G10" s="28">
        <v>0</v>
      </c>
      <c r="H10" s="29">
        <v>0</v>
      </c>
      <c r="I10" s="30">
        <v>0</v>
      </c>
      <c r="J10" s="2">
        <f t="shared" si="0"/>
        <v>1.0869565217391304</v>
      </c>
      <c r="K10" s="30">
        <v>1</v>
      </c>
      <c r="L10" s="30">
        <v>1</v>
      </c>
      <c r="M10" s="26">
        <v>1</v>
      </c>
      <c r="N10" s="26">
        <v>1</v>
      </c>
      <c r="O10" s="26">
        <v>1</v>
      </c>
      <c r="P10" s="26">
        <v>1</v>
      </c>
      <c r="Q10" s="27">
        <v>75</v>
      </c>
      <c r="R10" s="26">
        <v>1</v>
      </c>
      <c r="S10" s="27">
        <v>45</v>
      </c>
      <c r="T10" s="26">
        <v>1</v>
      </c>
      <c r="U10" s="27">
        <v>45</v>
      </c>
      <c r="V10" s="26">
        <v>2</v>
      </c>
      <c r="W10" s="27">
        <v>30</v>
      </c>
      <c r="X10" s="26">
        <v>4</v>
      </c>
      <c r="Y10" s="27">
        <v>80</v>
      </c>
      <c r="Z10" s="26">
        <v>1</v>
      </c>
      <c r="AA10" s="27">
        <v>1500</v>
      </c>
      <c r="AB10" s="26">
        <v>1</v>
      </c>
      <c r="AC10" s="27">
        <v>200</v>
      </c>
    </row>
    <row r="11" spans="1:29" s="4" customFormat="1" ht="20.25" customHeight="1" x14ac:dyDescent="0.25">
      <c r="A11" s="12">
        <v>4</v>
      </c>
      <c r="B11" s="25" t="s">
        <v>41</v>
      </c>
      <c r="C11" s="13"/>
      <c r="D11" s="26">
        <v>19</v>
      </c>
      <c r="E11" s="27">
        <v>0</v>
      </c>
      <c r="F11" s="26">
        <v>19</v>
      </c>
      <c r="G11" s="28">
        <v>0</v>
      </c>
      <c r="H11" s="29">
        <v>0</v>
      </c>
      <c r="I11" s="30">
        <v>0</v>
      </c>
      <c r="J11" s="2">
        <f t="shared" si="0"/>
        <v>1</v>
      </c>
      <c r="K11" s="30">
        <v>1</v>
      </c>
      <c r="L11" s="30">
        <v>1</v>
      </c>
      <c r="M11" s="26">
        <v>1</v>
      </c>
      <c r="N11" s="26">
        <v>1</v>
      </c>
      <c r="O11" s="26">
        <v>1</v>
      </c>
      <c r="P11" s="26">
        <v>1</v>
      </c>
      <c r="Q11" s="27">
        <v>90</v>
      </c>
      <c r="R11" s="26">
        <v>1</v>
      </c>
      <c r="S11" s="27">
        <v>45</v>
      </c>
      <c r="T11" s="26">
        <v>1</v>
      </c>
      <c r="U11" s="27">
        <v>45</v>
      </c>
      <c r="V11" s="26">
        <v>2</v>
      </c>
      <c r="W11" s="27">
        <v>40</v>
      </c>
      <c r="X11" s="26">
        <v>4</v>
      </c>
      <c r="Y11" s="27">
        <v>80</v>
      </c>
      <c r="Z11" s="26">
        <v>1</v>
      </c>
      <c r="AA11" s="27">
        <v>2000</v>
      </c>
      <c r="AB11" s="26">
        <v>1</v>
      </c>
      <c r="AC11" s="27">
        <v>200</v>
      </c>
    </row>
    <row r="12" spans="1:29" s="4" customFormat="1" ht="20.25" customHeight="1" x14ac:dyDescent="0.25">
      <c r="A12" s="12">
        <v>5</v>
      </c>
      <c r="B12" s="25" t="s">
        <v>42</v>
      </c>
      <c r="C12" s="13"/>
      <c r="D12" s="26">
        <v>26</v>
      </c>
      <c r="E12" s="27">
        <v>0</v>
      </c>
      <c r="F12" s="26">
        <v>26</v>
      </c>
      <c r="G12" s="28">
        <v>0</v>
      </c>
      <c r="H12" s="29">
        <v>0</v>
      </c>
      <c r="I12" s="30">
        <v>0</v>
      </c>
      <c r="J12" s="2">
        <f t="shared" si="0"/>
        <v>1</v>
      </c>
      <c r="K12" s="30">
        <v>1</v>
      </c>
      <c r="L12" s="30">
        <v>1</v>
      </c>
      <c r="M12" s="26">
        <v>1</v>
      </c>
      <c r="N12" s="26">
        <v>1</v>
      </c>
      <c r="O12" s="26">
        <v>1</v>
      </c>
      <c r="P12" s="26">
        <v>1</v>
      </c>
      <c r="Q12" s="27">
        <v>100</v>
      </c>
      <c r="R12" s="26">
        <v>1</v>
      </c>
      <c r="S12" s="27">
        <v>90</v>
      </c>
      <c r="T12" s="26">
        <v>1</v>
      </c>
      <c r="U12" s="27">
        <v>90</v>
      </c>
      <c r="V12" s="26">
        <v>1</v>
      </c>
      <c r="W12" s="27">
        <v>50</v>
      </c>
      <c r="X12" s="26">
        <v>16</v>
      </c>
      <c r="Y12" s="27">
        <v>160</v>
      </c>
      <c r="Z12" s="26">
        <v>1</v>
      </c>
      <c r="AA12" s="27">
        <v>2000</v>
      </c>
      <c r="AB12" s="26">
        <v>1</v>
      </c>
      <c r="AC12" s="27">
        <v>500</v>
      </c>
    </row>
    <row r="13" spans="1:29" s="4" customFormat="1" ht="20.25" customHeight="1" x14ac:dyDescent="0.25">
      <c r="A13" s="12">
        <v>6</v>
      </c>
      <c r="B13" s="25" t="s">
        <v>43</v>
      </c>
      <c r="C13" s="13"/>
      <c r="D13" s="26">
        <v>21</v>
      </c>
      <c r="E13" s="27">
        <v>0</v>
      </c>
      <c r="F13" s="26">
        <v>21</v>
      </c>
      <c r="G13" s="28">
        <v>0</v>
      </c>
      <c r="H13" s="29">
        <v>0</v>
      </c>
      <c r="I13" s="30">
        <v>0</v>
      </c>
      <c r="J13" s="2">
        <f t="shared" si="0"/>
        <v>1</v>
      </c>
      <c r="K13" s="30">
        <v>1</v>
      </c>
      <c r="L13" s="30">
        <v>1</v>
      </c>
      <c r="M13" s="26">
        <v>1</v>
      </c>
      <c r="N13" s="26">
        <v>1</v>
      </c>
      <c r="O13" s="26">
        <v>1</v>
      </c>
      <c r="P13" s="26">
        <v>1</v>
      </c>
      <c r="Q13" s="27">
        <v>40</v>
      </c>
      <c r="R13" s="26">
        <v>1</v>
      </c>
      <c r="S13" s="27">
        <v>50</v>
      </c>
      <c r="T13" s="26">
        <v>1</v>
      </c>
      <c r="U13" s="27">
        <v>50</v>
      </c>
      <c r="V13" s="26">
        <v>1</v>
      </c>
      <c r="W13" s="27">
        <v>30</v>
      </c>
      <c r="X13" s="26">
        <v>1</v>
      </c>
      <c r="Y13" s="27">
        <v>50</v>
      </c>
      <c r="Z13" s="26">
        <v>1</v>
      </c>
      <c r="AA13" s="27">
        <v>2000</v>
      </c>
      <c r="AB13" s="26">
        <v>1</v>
      </c>
      <c r="AC13" s="27">
        <v>1000</v>
      </c>
    </row>
    <row r="14" spans="1:29" s="4" customFormat="1" ht="20.25" customHeight="1" x14ac:dyDescent="0.25">
      <c r="A14" s="12">
        <v>7</v>
      </c>
      <c r="B14" s="25" t="s">
        <v>44</v>
      </c>
      <c r="C14" s="13"/>
      <c r="D14" s="26">
        <v>34</v>
      </c>
      <c r="E14" s="27">
        <v>0</v>
      </c>
      <c r="F14" s="26">
        <v>34</v>
      </c>
      <c r="G14" s="28">
        <v>0</v>
      </c>
      <c r="H14" s="29">
        <v>0</v>
      </c>
      <c r="I14" s="30">
        <v>0</v>
      </c>
      <c r="J14" s="2">
        <f t="shared" si="0"/>
        <v>1</v>
      </c>
      <c r="K14" s="30">
        <v>1</v>
      </c>
      <c r="L14" s="30">
        <v>1</v>
      </c>
      <c r="M14" s="26">
        <v>1</v>
      </c>
      <c r="N14" s="26">
        <v>1</v>
      </c>
      <c r="O14" s="26">
        <v>2</v>
      </c>
      <c r="P14" s="26">
        <v>1</v>
      </c>
      <c r="Q14" s="27">
        <v>63</v>
      </c>
      <c r="R14" s="26">
        <v>1</v>
      </c>
      <c r="S14" s="27">
        <v>320</v>
      </c>
      <c r="T14" s="26">
        <v>1</v>
      </c>
      <c r="U14" s="27">
        <v>320</v>
      </c>
      <c r="V14" s="26">
        <v>8</v>
      </c>
      <c r="W14" s="27">
        <v>80</v>
      </c>
      <c r="X14" s="26">
        <v>16</v>
      </c>
      <c r="Y14" s="27">
        <v>80</v>
      </c>
      <c r="Z14" s="26">
        <v>1</v>
      </c>
      <c r="AA14" s="27">
        <v>2497</v>
      </c>
      <c r="AB14" s="26">
        <v>1</v>
      </c>
      <c r="AC14" s="27">
        <v>500</v>
      </c>
    </row>
    <row r="15" spans="1:29" s="4" customFormat="1" ht="20.25" customHeight="1" x14ac:dyDescent="0.25">
      <c r="A15" s="12">
        <v>8</v>
      </c>
      <c r="B15" s="25" t="s">
        <v>45</v>
      </c>
      <c r="C15" s="13"/>
      <c r="D15" s="26">
        <v>28</v>
      </c>
      <c r="E15" s="27">
        <v>0</v>
      </c>
      <c r="F15" s="26">
        <v>23</v>
      </c>
      <c r="G15" s="28">
        <v>5</v>
      </c>
      <c r="H15" s="29">
        <v>0</v>
      </c>
      <c r="I15" s="30">
        <v>0</v>
      </c>
      <c r="J15" s="2">
        <f t="shared" si="0"/>
        <v>1</v>
      </c>
      <c r="K15" s="30">
        <v>1</v>
      </c>
      <c r="L15" s="30">
        <v>1</v>
      </c>
      <c r="M15" s="26">
        <v>1</v>
      </c>
      <c r="N15" s="26">
        <v>1</v>
      </c>
      <c r="O15" s="26">
        <v>1</v>
      </c>
      <c r="P15" s="26">
        <v>1</v>
      </c>
      <c r="Q15" s="27">
        <v>70</v>
      </c>
      <c r="R15" s="26">
        <v>1</v>
      </c>
      <c r="S15" s="27">
        <v>70</v>
      </c>
      <c r="T15" s="26">
        <v>1</v>
      </c>
      <c r="U15" s="27">
        <v>70</v>
      </c>
      <c r="V15" s="26">
        <v>1</v>
      </c>
      <c r="W15" s="27">
        <v>15</v>
      </c>
      <c r="X15" s="26">
        <v>2</v>
      </c>
      <c r="Y15" s="27">
        <v>30</v>
      </c>
      <c r="Z15" s="26">
        <v>1</v>
      </c>
      <c r="AA15" s="27">
        <v>700</v>
      </c>
      <c r="AB15" s="26">
        <v>1</v>
      </c>
      <c r="AC15" s="27">
        <v>1000</v>
      </c>
    </row>
    <row r="16" spans="1:29" s="4" customFormat="1" ht="20.25" customHeight="1" x14ac:dyDescent="0.25">
      <c r="A16" s="12">
        <v>9</v>
      </c>
      <c r="B16" s="25" t="s">
        <v>46</v>
      </c>
      <c r="C16" s="13"/>
      <c r="D16" s="26">
        <v>57</v>
      </c>
      <c r="E16" s="27">
        <v>0</v>
      </c>
      <c r="F16" s="26">
        <v>57</v>
      </c>
      <c r="G16" s="28">
        <v>0</v>
      </c>
      <c r="H16" s="29">
        <v>0</v>
      </c>
      <c r="I16" s="30">
        <v>0</v>
      </c>
      <c r="J16" s="2">
        <f t="shared" si="0"/>
        <v>1</v>
      </c>
      <c r="K16" s="30">
        <v>1</v>
      </c>
      <c r="L16" s="30">
        <v>1</v>
      </c>
      <c r="M16" s="26">
        <v>1</v>
      </c>
      <c r="N16" s="26">
        <v>1</v>
      </c>
      <c r="O16" s="26">
        <v>1</v>
      </c>
      <c r="P16" s="26">
        <v>1</v>
      </c>
      <c r="Q16" s="27">
        <v>40</v>
      </c>
      <c r="R16" s="26">
        <v>1</v>
      </c>
      <c r="S16" s="27">
        <v>20</v>
      </c>
      <c r="T16" s="26">
        <v>1</v>
      </c>
      <c r="U16" s="27">
        <v>20</v>
      </c>
      <c r="V16" s="26">
        <v>2</v>
      </c>
      <c r="W16" s="27">
        <v>30</v>
      </c>
      <c r="X16" s="26">
        <v>18</v>
      </c>
      <c r="Y16" s="27">
        <v>360</v>
      </c>
      <c r="Z16" s="26">
        <v>1</v>
      </c>
      <c r="AA16" s="27">
        <v>2551</v>
      </c>
      <c r="AB16" s="26">
        <v>1</v>
      </c>
      <c r="AC16" s="27">
        <v>1000</v>
      </c>
    </row>
    <row r="17" spans="1:31" s="4" customFormat="1" ht="20.25" customHeight="1" x14ac:dyDescent="0.25">
      <c r="A17" s="12">
        <v>10</v>
      </c>
      <c r="B17" s="25" t="s">
        <v>47</v>
      </c>
      <c r="C17" s="13"/>
      <c r="D17" s="26">
        <v>10</v>
      </c>
      <c r="E17" s="27">
        <v>0</v>
      </c>
      <c r="F17" s="26">
        <v>10</v>
      </c>
      <c r="G17" s="28">
        <v>0</v>
      </c>
      <c r="H17" s="29">
        <v>0</v>
      </c>
      <c r="I17" s="30">
        <v>0</v>
      </c>
      <c r="J17" s="2">
        <f t="shared" si="0"/>
        <v>1</v>
      </c>
      <c r="K17" s="30">
        <v>1</v>
      </c>
      <c r="L17" s="30">
        <v>1</v>
      </c>
      <c r="M17" s="26">
        <v>1</v>
      </c>
      <c r="N17" s="26">
        <v>1</v>
      </c>
      <c r="O17" s="26">
        <v>1</v>
      </c>
      <c r="P17" s="26">
        <v>1</v>
      </c>
      <c r="Q17" s="27">
        <v>60</v>
      </c>
      <c r="R17" s="26">
        <v>2</v>
      </c>
      <c r="S17" s="27">
        <v>100</v>
      </c>
      <c r="T17" s="26">
        <v>2</v>
      </c>
      <c r="U17" s="27">
        <v>100</v>
      </c>
      <c r="V17" s="26">
        <v>3</v>
      </c>
      <c r="W17" s="27">
        <v>50</v>
      </c>
      <c r="X17" s="26">
        <v>22</v>
      </c>
      <c r="Y17" s="27">
        <v>420</v>
      </c>
      <c r="Z17" s="26">
        <v>3</v>
      </c>
      <c r="AA17" s="27">
        <v>2811</v>
      </c>
      <c r="AB17" s="26">
        <v>2</v>
      </c>
      <c r="AC17" s="27">
        <v>1000</v>
      </c>
    </row>
    <row r="18" spans="1:31" s="4" customFormat="1" ht="20.25" customHeight="1" x14ac:dyDescent="0.25">
      <c r="A18" s="14"/>
      <c r="B18" s="15" t="s">
        <v>33</v>
      </c>
      <c r="C18" s="1">
        <f>SUM(C8:C17)</f>
        <v>0</v>
      </c>
      <c r="D18" s="1">
        <f t="shared" ref="D18:AC18" si="1">SUM(D8:D17)</f>
        <v>288</v>
      </c>
      <c r="E18" s="1">
        <f t="shared" si="1"/>
        <v>0</v>
      </c>
      <c r="F18" s="1">
        <f t="shared" si="1"/>
        <v>296</v>
      </c>
      <c r="G18" s="1">
        <f t="shared" si="1"/>
        <v>5</v>
      </c>
      <c r="H18" s="1">
        <f t="shared" si="1"/>
        <v>0</v>
      </c>
      <c r="I18" s="1">
        <f t="shared" si="1"/>
        <v>0</v>
      </c>
      <c r="J18" s="3">
        <f t="shared" si="0"/>
        <v>1.0451388888888888</v>
      </c>
      <c r="K18" s="1">
        <f t="shared" si="1"/>
        <v>10</v>
      </c>
      <c r="L18" s="1">
        <f t="shared" si="1"/>
        <v>10</v>
      </c>
      <c r="M18" s="1">
        <f t="shared" si="1"/>
        <v>10</v>
      </c>
      <c r="N18" s="1">
        <f t="shared" si="1"/>
        <v>10</v>
      </c>
      <c r="O18" s="1">
        <f t="shared" si="1"/>
        <v>11</v>
      </c>
      <c r="P18" s="1">
        <f t="shared" si="1"/>
        <v>10</v>
      </c>
      <c r="Q18" s="1">
        <f t="shared" si="1"/>
        <v>658</v>
      </c>
      <c r="R18" s="1">
        <f t="shared" si="1"/>
        <v>11</v>
      </c>
      <c r="S18" s="1">
        <f t="shared" si="1"/>
        <v>823</v>
      </c>
      <c r="T18" s="1">
        <f t="shared" si="1"/>
        <v>11</v>
      </c>
      <c r="U18" s="1">
        <f t="shared" si="1"/>
        <v>823</v>
      </c>
      <c r="V18" s="1">
        <f t="shared" si="1"/>
        <v>24</v>
      </c>
      <c r="W18" s="1">
        <f t="shared" si="1"/>
        <v>425</v>
      </c>
      <c r="X18" s="1">
        <f t="shared" si="1"/>
        <v>99</v>
      </c>
      <c r="Y18" s="1">
        <f t="shared" si="1"/>
        <v>1552</v>
      </c>
      <c r="Z18" s="1">
        <f t="shared" si="1"/>
        <v>14</v>
      </c>
      <c r="AA18" s="1">
        <f t="shared" si="1"/>
        <v>18659</v>
      </c>
      <c r="AB18" s="1">
        <f t="shared" si="1"/>
        <v>11</v>
      </c>
      <c r="AC18" s="1">
        <f t="shared" si="1"/>
        <v>6000</v>
      </c>
    </row>
    <row r="19" spans="1:31" ht="12.75" customHeight="1" x14ac:dyDescent="0.3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</row>
    <row r="20" spans="1:31" s="17" customFormat="1" ht="15.65" customHeight="1" x14ac:dyDescent="0.35">
      <c r="C20" s="18"/>
      <c r="D20" s="18"/>
      <c r="E20" s="18"/>
      <c r="F20" s="18"/>
      <c r="G20" s="19"/>
      <c r="H20" s="19"/>
      <c r="I20" s="18"/>
      <c r="N20" s="20"/>
      <c r="O20" s="20"/>
      <c r="P20" s="20"/>
      <c r="Q20" s="20"/>
      <c r="R20" s="20"/>
      <c r="S20" s="20"/>
      <c r="T20" s="33" t="s">
        <v>48</v>
      </c>
      <c r="U20" s="33"/>
      <c r="V20" s="33"/>
      <c r="W20" s="33"/>
      <c r="X20" s="33"/>
      <c r="Y20" s="33"/>
      <c r="Z20" s="33"/>
      <c r="AA20" s="33"/>
      <c r="AB20" s="33"/>
      <c r="AC20" s="33"/>
      <c r="AD20" s="20"/>
      <c r="AE20" s="20"/>
    </row>
    <row r="21" spans="1:31" s="17" customFormat="1" ht="19.5" customHeight="1" x14ac:dyDescent="0.3">
      <c r="C21" s="18"/>
      <c r="D21" s="18"/>
      <c r="E21" s="21"/>
      <c r="F21" s="21"/>
      <c r="G21" s="22"/>
      <c r="H21" s="22"/>
      <c r="I21" s="18"/>
      <c r="N21" s="23"/>
      <c r="O21" s="23"/>
      <c r="P21" s="23"/>
      <c r="Q21" s="23"/>
      <c r="R21" s="23"/>
      <c r="S21" s="23"/>
      <c r="T21" s="31" t="s">
        <v>35</v>
      </c>
      <c r="U21" s="31"/>
      <c r="V21" s="31"/>
      <c r="W21" s="31"/>
      <c r="X21" s="31"/>
      <c r="Y21" s="31"/>
      <c r="Z21" s="31"/>
      <c r="AA21" s="31"/>
      <c r="AB21" s="31"/>
      <c r="AC21" s="31"/>
      <c r="AD21" s="23"/>
      <c r="AE21" s="23"/>
    </row>
    <row r="22" spans="1:31" s="17" customFormat="1" ht="15.65" customHeight="1" x14ac:dyDescent="0.3">
      <c r="C22" s="32" t="s">
        <v>31</v>
      </c>
      <c r="D22" s="32"/>
      <c r="E22" s="32"/>
      <c r="F22" s="32"/>
      <c r="G22" s="32"/>
      <c r="H22" s="32"/>
      <c r="I22" s="23"/>
      <c r="J22" s="23"/>
      <c r="K22" s="23"/>
      <c r="L22" s="23"/>
      <c r="N22" s="23"/>
      <c r="O22" s="23"/>
      <c r="P22" s="23"/>
      <c r="Q22" s="23"/>
      <c r="R22" s="23"/>
      <c r="S22" s="23"/>
      <c r="T22" s="31" t="s">
        <v>34</v>
      </c>
      <c r="U22" s="31"/>
      <c r="V22" s="31"/>
      <c r="W22" s="31"/>
      <c r="X22" s="31"/>
      <c r="Y22" s="31"/>
      <c r="Z22" s="31"/>
      <c r="AA22" s="31"/>
      <c r="AB22" s="31"/>
      <c r="AC22" s="31"/>
      <c r="AD22" s="23"/>
      <c r="AE22" s="23"/>
    </row>
    <row r="23" spans="1:31" s="17" customFormat="1" ht="13.15" customHeight="1" x14ac:dyDescent="0.3">
      <c r="F23" s="18"/>
      <c r="G23" s="18"/>
      <c r="H23" s="24"/>
      <c r="I23" s="24"/>
      <c r="J23" s="24"/>
      <c r="K23" s="24"/>
      <c r="L23" s="24"/>
      <c r="N23" s="24"/>
      <c r="O23" s="24"/>
      <c r="P23" s="24"/>
      <c r="Q23" s="24"/>
      <c r="R23" s="24"/>
      <c r="S23" s="24"/>
      <c r="T23" s="34" t="s">
        <v>36</v>
      </c>
      <c r="U23" s="34"/>
      <c r="V23" s="34"/>
      <c r="W23" s="34"/>
      <c r="X23" s="34"/>
      <c r="Y23" s="34"/>
      <c r="Z23" s="34"/>
      <c r="AA23" s="34"/>
      <c r="AB23" s="34"/>
      <c r="AC23" s="34"/>
      <c r="AD23" s="24"/>
      <c r="AE23" s="24"/>
    </row>
    <row r="24" spans="1:31" s="17" customFormat="1" ht="19.149999999999999" customHeight="1" x14ac:dyDescent="0.3">
      <c r="F24" s="18"/>
      <c r="G24" s="18"/>
      <c r="I24" s="18"/>
      <c r="J24" s="18"/>
      <c r="K24" s="18"/>
      <c r="L24" s="18"/>
      <c r="N24" s="18"/>
      <c r="O24" s="18"/>
      <c r="P24" s="18"/>
      <c r="Q24" s="18"/>
      <c r="T24" s="18"/>
    </row>
    <row r="25" spans="1:31" s="17" customFormat="1" ht="19.5" customHeight="1" x14ac:dyDescent="0.3">
      <c r="F25" s="18"/>
      <c r="G25" s="18"/>
      <c r="I25" s="18"/>
      <c r="J25" s="18"/>
      <c r="K25" s="18"/>
      <c r="L25" s="18"/>
      <c r="N25" s="18"/>
      <c r="O25" s="18"/>
      <c r="P25" s="18"/>
      <c r="Q25" s="18"/>
      <c r="T25" s="18"/>
    </row>
    <row r="26" spans="1:31" s="17" customFormat="1" ht="19.5" customHeight="1" x14ac:dyDescent="0.3">
      <c r="F26" s="18"/>
      <c r="G26" s="18"/>
      <c r="I26" s="18"/>
      <c r="J26" s="18"/>
      <c r="K26" s="18"/>
      <c r="L26" s="18"/>
      <c r="N26" s="23"/>
      <c r="O26" s="23"/>
      <c r="P26" s="23"/>
      <c r="Q26" s="23"/>
      <c r="R26" s="23"/>
      <c r="S26" s="23"/>
      <c r="AD26" s="23"/>
      <c r="AE26" s="23"/>
    </row>
    <row r="27" spans="1:31" s="17" customFormat="1" ht="19.5" customHeight="1" x14ac:dyDescent="0.3">
      <c r="C27" s="31" t="s">
        <v>50</v>
      </c>
      <c r="D27" s="31"/>
      <c r="E27" s="31"/>
      <c r="F27" s="31"/>
      <c r="G27" s="31"/>
      <c r="H27" s="31"/>
      <c r="I27" s="23"/>
      <c r="J27" s="23"/>
      <c r="K27" s="23"/>
      <c r="L27" s="23"/>
      <c r="N27" s="23"/>
      <c r="O27" s="23"/>
      <c r="P27" s="23"/>
      <c r="Q27" s="23"/>
      <c r="R27" s="23"/>
      <c r="S27" s="23"/>
      <c r="T27" s="31" t="s">
        <v>49</v>
      </c>
      <c r="U27" s="31"/>
      <c r="V27" s="31"/>
      <c r="W27" s="31"/>
      <c r="X27" s="31"/>
      <c r="Y27" s="31"/>
      <c r="Z27" s="31"/>
      <c r="AA27" s="31"/>
      <c r="AB27" s="31"/>
      <c r="AC27" s="31"/>
      <c r="AD27" s="23"/>
      <c r="AE27" s="23"/>
    </row>
    <row r="28" spans="1:31" s="17" customFormat="1" ht="12.75" customHeight="1" x14ac:dyDescent="0.3"/>
    <row r="29" spans="1:31" s="17" customFormat="1" ht="12.75" customHeight="1" x14ac:dyDescent="0.3"/>
    <row r="30" spans="1:31" s="17" customFormat="1" ht="12.75" customHeight="1" x14ac:dyDescent="0.3"/>
    <row r="31" spans="1:31" s="17" customFormat="1" ht="12.75" customHeight="1" x14ac:dyDescent="0.3"/>
    <row r="32" spans="1:31" s="17" customFormat="1" ht="12.75" customHeight="1" x14ac:dyDescent="0.3"/>
    <row r="33" s="17" customFormat="1" ht="12.75" customHeight="1" x14ac:dyDescent="0.3"/>
    <row r="34" s="17" customFormat="1" ht="12.75" customHeight="1" x14ac:dyDescent="0.3"/>
    <row r="35" s="17" customFormat="1" ht="12.75" customHeight="1" x14ac:dyDescent="0.3"/>
    <row r="36" s="17" customFormat="1" ht="12.75" customHeight="1" x14ac:dyDescent="0.3"/>
    <row r="37" s="17" customFormat="1" ht="12.75" customHeight="1" x14ac:dyDescent="0.3"/>
    <row r="38" s="17" customFormat="1" ht="12.75" customHeight="1" x14ac:dyDescent="0.3"/>
    <row r="39" s="17" customFormat="1" ht="12.75" customHeight="1" x14ac:dyDescent="0.3"/>
  </sheetData>
  <sheetProtection password="ED8D" sheet="1"/>
  <mergeCells count="39">
    <mergeCell ref="X5:Y5"/>
    <mergeCell ref="T5:U5"/>
    <mergeCell ref="E5:E6"/>
    <mergeCell ref="D5:D6"/>
    <mergeCell ref="H5:H6"/>
    <mergeCell ref="V4:Y4"/>
    <mergeCell ref="A1:B1"/>
    <mergeCell ref="A4:A6"/>
    <mergeCell ref="B4:B6"/>
    <mergeCell ref="R5:S5"/>
    <mergeCell ref="J5:J6"/>
    <mergeCell ref="K4:U4"/>
    <mergeCell ref="I5:I6"/>
    <mergeCell ref="C4:C6"/>
    <mergeCell ref="D4:E4"/>
    <mergeCell ref="F5:F6"/>
    <mergeCell ref="Z4:AA4"/>
    <mergeCell ref="A2:B2"/>
    <mergeCell ref="C2:Y2"/>
    <mergeCell ref="A3:B3"/>
    <mergeCell ref="C3:F3"/>
    <mergeCell ref="F4:J4"/>
    <mergeCell ref="AB4:AC4"/>
    <mergeCell ref="V5:W5"/>
    <mergeCell ref="P5:Q5"/>
    <mergeCell ref="Z1:AC1"/>
    <mergeCell ref="AC5:AC6"/>
    <mergeCell ref="Z5:Z6"/>
    <mergeCell ref="AA5:AA6"/>
    <mergeCell ref="C1:Y1"/>
    <mergeCell ref="G5:G6"/>
    <mergeCell ref="AB5:AB6"/>
    <mergeCell ref="T27:AC27"/>
    <mergeCell ref="C22:H22"/>
    <mergeCell ref="C27:H27"/>
    <mergeCell ref="T20:AC20"/>
    <mergeCell ref="T21:AC21"/>
    <mergeCell ref="T23:AC23"/>
    <mergeCell ref="T22:AC22"/>
  </mergeCells>
  <dataValidations count="2">
    <dataValidation type="list" allowBlank="1" showInputMessage="1" showErrorMessage="1" sqref="D3:F3" xr:uid="{6E422798-0933-4D4F-A6F1-6744655FC45D}">
      <formula1>$AK$1</formula1>
    </dataValidation>
    <dataValidation type="list" allowBlank="1" showInputMessage="1" showErrorMessage="1" sqref="C3" xr:uid="{17AE85CD-61D9-4C9C-B5D3-FFC46E937B43}">
      <formula1>$AK$9804:$AK$9817</formula1>
    </dataValidation>
  </dataValidations>
  <pageMargins left="0.27559055118110237" right="0.15748031496062992" top="0.74803149606299213" bottom="0.74803149606299213" header="0.31496062992125984" footer="0.31496062992125984"/>
  <pageSetup paperSize="9" scale="9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 cơ sở vật chất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Mrs_Quynh</dc:creator>
  <cp:lastModifiedBy>Nam Đậu Hồng</cp:lastModifiedBy>
  <cp:lastPrinted>2025-12-16T13:33:49Z</cp:lastPrinted>
  <dcterms:created xsi:type="dcterms:W3CDTF">2026-04-01T00:44:17Z</dcterms:created>
  <dcterms:modified xsi:type="dcterms:W3CDTF">2026-08-11T08:42:32Z</dcterms:modified>
</cp:coreProperties>
</file>