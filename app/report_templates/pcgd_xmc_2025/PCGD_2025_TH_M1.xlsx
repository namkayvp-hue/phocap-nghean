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Biểu mẫu\Biểu mẫu\Tiểu học\"/>
    </mc:Choice>
  </mc:AlternateContent>
  <xr:revisionPtr revIDLastSave="0" documentId="8_{FBD86572-F62D-4C5A-BFE0-CCDCC0851A73}" xr6:coauthVersionLast="47" xr6:coauthVersionMax="47" xr10:uidLastSave="{00000000-0000-0000-0000-000000000000}"/>
  <bookViews>
    <workbookView xWindow="1860" yWindow="1860" windowWidth="16920" windowHeight="10450" tabRatio="776" xr2:uid="{33D0D3D7-5C73-4383-9237-49DF2861577F}"/>
  </bookViews>
  <sheets>
    <sheet name="Toàn xã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2" i="3" l="1"/>
  <c r="P15" i="3"/>
  <c r="P16" i="3"/>
  <c r="P24" i="3"/>
  <c r="P27" i="3"/>
  <c r="P28" i="3"/>
  <c r="P36" i="3"/>
  <c r="K13" i="3"/>
  <c r="K16" i="3"/>
  <c r="K25" i="3"/>
  <c r="K28" i="3"/>
  <c r="K37" i="3"/>
  <c r="P7" i="3"/>
  <c r="P8" i="3"/>
  <c r="P9" i="3"/>
  <c r="P10" i="3"/>
  <c r="P11" i="3"/>
  <c r="F42" i="3"/>
  <c r="G42" i="3"/>
  <c r="P13" i="3"/>
  <c r="P14" i="3"/>
  <c r="P17" i="3"/>
  <c r="P18" i="3"/>
  <c r="P19" i="3"/>
  <c r="P20" i="3"/>
  <c r="P21" i="3"/>
  <c r="P22" i="3"/>
  <c r="P23" i="3"/>
  <c r="P25" i="3"/>
  <c r="P26" i="3"/>
  <c r="F41" i="3"/>
  <c r="G41" i="3"/>
  <c r="P29" i="3"/>
  <c r="F43" i="3"/>
  <c r="G43" i="3"/>
  <c r="P30" i="3"/>
  <c r="P31" i="3"/>
  <c r="P32" i="3"/>
  <c r="P33" i="3"/>
  <c r="P34" i="3"/>
  <c r="P35" i="3"/>
  <c r="P37" i="3"/>
  <c r="P38" i="3"/>
  <c r="P6" i="3"/>
  <c r="K7" i="3"/>
  <c r="K8" i="3"/>
  <c r="K9" i="3"/>
  <c r="K10" i="3"/>
  <c r="K11" i="3"/>
  <c r="K12" i="3"/>
  <c r="K14" i="3"/>
  <c r="K15" i="3"/>
  <c r="K17" i="3"/>
  <c r="K18" i="3"/>
  <c r="K19" i="3"/>
  <c r="K20" i="3"/>
  <c r="K21" i="3"/>
  <c r="K22" i="3"/>
  <c r="K23" i="3"/>
  <c r="K24" i="3"/>
  <c r="K26" i="3"/>
  <c r="K27" i="3"/>
  <c r="K29" i="3"/>
  <c r="K30" i="3"/>
  <c r="K31" i="3"/>
  <c r="K32" i="3"/>
  <c r="K33" i="3"/>
  <c r="K34" i="3"/>
  <c r="K35" i="3"/>
  <c r="K36" i="3"/>
  <c r="K38" i="3"/>
  <c r="K6" i="3"/>
  <c r="F40" i="3"/>
  <c r="G40" i="3"/>
  <c r="F44" i="3"/>
  <c r="G44" i="3"/>
</calcChain>
</file>

<file path=xl/sharedStrings.xml><?xml version="1.0" encoding="utf-8"?>
<sst xmlns="http://schemas.openxmlformats.org/spreadsheetml/2006/main" count="80" uniqueCount="48">
  <si>
    <t>THỐNG KÊ TRẺ EM 6 ĐẾN 14 TUỔI PHỔ CẬP GIÁO DỤC TIỂU HỌC</t>
  </si>
  <si>
    <t>Mẫu: TH-01-TE</t>
  </si>
  <si>
    <t>Năm sinh</t>
  </si>
  <si>
    <t>Tổng
(6-10)</t>
  </si>
  <si>
    <t>Tổng
(11-14)</t>
  </si>
  <si>
    <t>Độ tuổi</t>
  </si>
  <si>
    <t>Tổng số</t>
  </si>
  <si>
    <t>Nữ</t>
  </si>
  <si>
    <t>Dân tộc</t>
  </si>
  <si>
    <t>Khuyết
tật</t>
  </si>
  <si>
    <t>Có khả năng HT</t>
  </si>
  <si>
    <t>Được tiếp cận GD</t>
  </si>
  <si>
    <t>Số phải phổ cập (PPC)</t>
  </si>
  <si>
    <t>Đã và đang học tiểu học</t>
  </si>
  <si>
    <t>Lớp 1</t>
  </si>
  <si>
    <t>Số
PPC</t>
  </si>
  <si>
    <t>Tại chỗ</t>
  </si>
  <si>
    <t>Nơi khác</t>
  </si>
  <si>
    <t>Nơi khác đến</t>
  </si>
  <si>
    <t>Lớp 2</t>
  </si>
  <si>
    <t>Lớp 3</t>
  </si>
  <si>
    <t>Lớp 4</t>
  </si>
  <si>
    <t>Lớp 5</t>
  </si>
  <si>
    <t>HTCTTH</t>
  </si>
  <si>
    <t>Số KPPC</t>
  </si>
  <si>
    <t>Lưu ban</t>
  </si>
  <si>
    <t>Số PPC</t>
  </si>
  <si>
    <t xml:space="preserve">Bỏ học </t>
  </si>
  <si>
    <t>Số PPC chưa đi học</t>
  </si>
  <si>
    <t>Tiêu chí</t>
  </si>
  <si>
    <t>Số lượng</t>
  </si>
  <si>
    <t>Tỉ lệ</t>
  </si>
  <si>
    <t>Trẻ 6 tuổi vào lớp 1</t>
  </si>
  <si>
    <t>:</t>
  </si>
  <si>
    <t>Trẻ 11 tuổi HTCTTH</t>
  </si>
  <si>
    <t>Trẻ 11 tuổi đang học ở TH</t>
  </si>
  <si>
    <t>Trẻ đến 14 tuổi HTCTTH</t>
  </si>
  <si>
    <t>Trẻ KT có khả năng HT được tiếp cận GD</t>
  </si>
  <si>
    <t>Thời điểm: ngày 30 tháng 9 năm 2025</t>
  </si>
  <si>
    <t>Tỉnh: Nghệ An</t>
  </si>
  <si>
    <t>NGƯỜI LẬP BẢNG</t>
  </si>
  <si>
    <t>XÁC NHẬN CỦA UBND XÃ/PHƯỜNG</t>
  </si>
  <si>
    <t>PHÓ CHỦ TỊCH</t>
  </si>
  <si>
    <t>(Kí tên, đóng dấu)</t>
  </si>
  <si>
    <t>Phường Thành Vinh</t>
  </si>
  <si>
    <t>Thành Vinh, ngày      tháng      năm 2025</t>
  </si>
  <si>
    <t>Nguyễn Quang Vinh</t>
  </si>
  <si>
    <t>Nguyễn Thị Như Quỳnh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</si>
</sst>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₫&quot;_-;\-* #,##0.00\ &quot;₫&quot;_-;_-* &quot;-&quot;??\ &quot;₫&quot;_-;_-@_-"/>
    <numFmt numFmtId="167" formatCode="#,###"/>
  </numFmts>
  <fonts count="16" x14ac:knownFonts="1">
    <font>
      <sz val="12"/>
      <color theme="1"/>
      <name val="Times New Roman"/>
      <family val="2"/>
    </font>
    <font>
      <b/>
      <sz val="10"/>
      <color indexed="8"/>
      <name val="Arial"/>
      <family val="2"/>
      <charset val="163"/>
    </font>
    <font>
      <b/>
      <i/>
      <sz val="10"/>
      <color indexed="8"/>
      <name val="Arial"/>
      <family val="2"/>
      <charset val="163"/>
    </font>
    <font>
      <b/>
      <i/>
      <sz val="10"/>
      <color indexed="8"/>
      <name val="Arial"/>
      <family val="2"/>
    </font>
    <font>
      <i/>
      <sz val="10"/>
      <color indexed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  <charset val="163"/>
    </font>
    <font>
      <i/>
      <sz val="8"/>
      <color indexed="8"/>
      <name val="Arial"/>
      <family val="2"/>
      <charset val="163"/>
    </font>
    <font>
      <b/>
      <sz val="12"/>
      <color indexed="8"/>
      <name val="Times New Roman"/>
      <family val="1"/>
    </font>
    <font>
      <i/>
      <sz val="10"/>
      <color indexed="8"/>
      <name val="Times New Roman"/>
      <family val="1"/>
    </font>
    <font>
      <sz val="10"/>
      <color indexed="8"/>
      <name val="Times New Roman"/>
      <family val="1"/>
    </font>
    <font>
      <i/>
      <sz val="12"/>
      <color indexed="8"/>
      <name val="Times New Roman"/>
      <family val="1"/>
    </font>
    <font>
      <sz val="8"/>
      <name val="Arial"/>
      <family val="2"/>
    </font>
    <font>
      <sz val="10"/>
      <color indexed="8"/>
      <name val="Calibri Light"/>
      <family val="1"/>
      <charset val="163"/>
      <scheme val="major"/>
    </font>
    <font>
      <sz val="10"/>
      <color theme="1"/>
      <name val="Times New Roman"/>
      <family val="2"/>
    </font>
    <font>
      <b/>
      <sz val="10"/>
      <color rgb="FFFF0000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5" fillId="0" borderId="1" xfId="0" applyFont="1" applyFill="1" applyBorder="1" applyAlignment="1" applyProtection="1">
      <alignment horizontal="center" vertical="center"/>
      <protection locked="0"/>
    </xf>
    <xf numFmtId="0" fontId="5" fillId="0" borderId="2" xfId="0" applyFont="1" applyFill="1" applyBorder="1" applyAlignment="1" applyProtection="1">
      <alignment horizontal="center" vertical="center"/>
      <protection locked="0"/>
    </xf>
    <xf numFmtId="0" fontId="5" fillId="0" borderId="3" xfId="0" applyFont="1" applyFill="1" applyBorder="1" applyAlignment="1" applyProtection="1">
      <alignment horizontal="center" vertical="center"/>
      <protection locked="0"/>
    </xf>
    <xf numFmtId="0" fontId="5" fillId="0" borderId="4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1" fontId="0" fillId="0" borderId="0" xfId="0" applyNumberForma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3" fillId="0" borderId="0" xfId="0" applyFont="1" applyFill="1" applyAlignment="1" applyProtection="1">
      <alignment vertical="center"/>
      <protection locked="0"/>
    </xf>
    <xf numFmtId="0" fontId="0" fillId="0" borderId="0" xfId="0" applyFill="1" applyAlignment="1" applyProtection="1">
      <alignment vertical="center"/>
      <protection locked="0"/>
    </xf>
    <xf numFmtId="0" fontId="4" fillId="0" borderId="0" xfId="0" applyFont="1" applyFill="1" applyAlignment="1" applyProtection="1">
      <alignment vertical="center"/>
      <protection locked="0"/>
    </xf>
    <xf numFmtId="1" fontId="5" fillId="0" borderId="4" xfId="0" applyNumberFormat="1" applyFont="1" applyFill="1" applyBorder="1" applyAlignment="1" applyProtection="1">
      <alignment horizontal="center" vertical="center"/>
      <protection locked="0"/>
    </xf>
    <xf numFmtId="164" fontId="0" fillId="0" borderId="0" xfId="0" applyNumberFormat="1" applyAlignment="1" applyProtection="1">
      <alignment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2" xfId="0" applyNumberFormat="1" applyFont="1" applyFill="1" applyBorder="1" applyAlignment="1" applyProtection="1">
      <alignment horizontal="center" vertical="center"/>
      <protection locked="0"/>
    </xf>
    <xf numFmtId="1" fontId="5" fillId="0" borderId="3" xfId="0" applyNumberFormat="1" applyFont="1" applyFill="1" applyBorder="1" applyAlignment="1" applyProtection="1">
      <alignment horizontal="center" vertical="center"/>
      <protection locked="0"/>
    </xf>
    <xf numFmtId="164" fontId="5" fillId="0" borderId="1" xfId="0" applyNumberFormat="1" applyFont="1" applyFill="1" applyBorder="1" applyAlignment="1" applyProtection="1">
      <alignment horizontal="left" vertical="center" wrapText="1"/>
      <protection locked="0"/>
    </xf>
    <xf numFmtId="164" fontId="5" fillId="0" borderId="2" xfId="0" applyNumberFormat="1" applyFont="1" applyFill="1" applyBorder="1" applyAlignment="1" applyProtection="1">
      <alignment horizontal="left" vertical="center" wrapText="1"/>
      <protection locked="0"/>
    </xf>
    <xf numFmtId="164" fontId="5" fillId="0" borderId="5" xfId="0" applyNumberFormat="1" applyFont="1" applyFill="1" applyBorder="1" applyAlignment="1" applyProtection="1">
      <alignment vertical="center" wrapText="1"/>
      <protection locked="0"/>
    </xf>
    <xf numFmtId="164" fontId="5" fillId="0" borderId="6" xfId="0" applyNumberFormat="1" applyFont="1" applyFill="1" applyBorder="1" applyAlignment="1" applyProtection="1">
      <alignment vertical="center"/>
      <protection locked="0"/>
    </xf>
    <xf numFmtId="164" fontId="6" fillId="0" borderId="7" xfId="0" applyNumberFormat="1" applyFont="1" applyFill="1" applyBorder="1" applyAlignment="1" applyProtection="1">
      <alignment horizontal="center" vertical="center"/>
      <protection locked="0"/>
    </xf>
    <xf numFmtId="164" fontId="0" fillId="0" borderId="0" xfId="0" applyNumberFormat="1" applyFill="1" applyAlignment="1" applyProtection="1">
      <alignment vertical="center"/>
      <protection locked="0"/>
    </xf>
    <xf numFmtId="164" fontId="5" fillId="0" borderId="0" xfId="0" applyNumberFormat="1" applyFont="1" applyFill="1" applyAlignment="1" applyProtection="1">
      <alignment horizontal="right" vertical="center"/>
      <protection locked="0"/>
    </xf>
    <xf numFmtId="164" fontId="4" fillId="0" borderId="0" xfId="0" applyNumberFormat="1" applyFont="1" applyFill="1" applyAlignment="1" applyProtection="1">
      <alignment horizontal="center" vertical="center"/>
      <protection locked="0"/>
    </xf>
    <xf numFmtId="164" fontId="5" fillId="0" borderId="8" xfId="0" applyNumberFormat="1" applyFont="1" applyFill="1" applyBorder="1" applyAlignment="1" applyProtection="1">
      <alignment horizontal="left" vertical="center"/>
      <protection locked="0"/>
    </xf>
    <xf numFmtId="164" fontId="5" fillId="0" borderId="9" xfId="0" applyNumberFormat="1" applyFont="1" applyFill="1" applyBorder="1" applyAlignment="1" applyProtection="1">
      <alignment horizontal="left" vertical="center"/>
      <protection locked="0"/>
    </xf>
    <xf numFmtId="1" fontId="5" fillId="0" borderId="9" xfId="0" applyNumberFormat="1" applyFont="1" applyFill="1" applyBorder="1" applyAlignment="1" applyProtection="1">
      <alignment vertical="center"/>
      <protection locked="0"/>
    </xf>
    <xf numFmtId="164" fontId="0" fillId="0" borderId="0" xfId="0" applyNumberFormat="1" applyFill="1" applyAlignment="1" applyProtection="1">
      <alignment horizontal="right" vertical="center"/>
      <protection locked="0"/>
    </xf>
    <xf numFmtId="164" fontId="1" fillId="0" borderId="0" xfId="0" applyNumberFormat="1" applyFont="1" applyFill="1" applyAlignment="1" applyProtection="1">
      <alignment horizontal="right" vertical="center"/>
      <protection locked="0"/>
    </xf>
    <xf numFmtId="164" fontId="1" fillId="0" borderId="0" xfId="0" applyNumberFormat="1" applyFont="1" applyFill="1" applyAlignment="1" applyProtection="1">
      <alignment horizontal="center" vertical="center"/>
      <protection locked="0"/>
    </xf>
    <xf numFmtId="164" fontId="5" fillId="0" borderId="0" xfId="0" applyNumberFormat="1" applyFont="1" applyFill="1" applyAlignment="1" applyProtection="1">
      <alignment horizontal="left" vertical="center"/>
      <protection locked="0"/>
    </xf>
    <xf numFmtId="164" fontId="0" fillId="0" borderId="0" xfId="0" applyNumberFormat="1" applyFill="1" applyAlignment="1" applyProtection="1">
      <alignment horizontal="center" vertical="center"/>
      <protection locked="0"/>
    </xf>
    <xf numFmtId="164" fontId="7" fillId="0" borderId="0" xfId="0" applyNumberFormat="1" applyFont="1" applyFill="1" applyAlignment="1" applyProtection="1">
      <alignment vertical="center"/>
      <protection locked="0"/>
    </xf>
    <xf numFmtId="164" fontId="5" fillId="0" borderId="0" xfId="0" applyNumberFormat="1" applyFont="1" applyFill="1" applyAlignment="1" applyProtection="1">
      <alignment vertical="center"/>
      <protection locked="0"/>
    </xf>
    <xf numFmtId="0" fontId="13" fillId="0" borderId="0" xfId="0" applyFont="1" applyAlignment="1" applyProtection="1">
      <alignment vertical="center"/>
      <protection locked="0"/>
    </xf>
    <xf numFmtId="1" fontId="0" fillId="0" borderId="0" xfId="0" applyNumberFormat="1" applyProtection="1">
      <protection locked="0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5" fillId="2" borderId="10" xfId="0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 applyProtection="1">
      <alignment horizontal="center" vertical="center"/>
    </xf>
    <xf numFmtId="0" fontId="5" fillId="2" borderId="2" xfId="0" applyFont="1" applyFill="1" applyBorder="1" applyAlignment="1" applyProtection="1">
      <alignment horizontal="center" vertical="center"/>
    </xf>
    <xf numFmtId="0" fontId="5" fillId="2" borderId="3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right" vertical="center"/>
    </xf>
    <xf numFmtId="2" fontId="5" fillId="2" borderId="4" xfId="0" applyNumberFormat="1" applyFont="1" applyFill="1" applyBorder="1" applyAlignment="1" applyProtection="1">
      <alignment horizontal="right" vertical="center"/>
    </xf>
    <xf numFmtId="167" fontId="12" fillId="0" borderId="11" xfId="0" applyNumberFormat="1" applyFont="1" applyBorder="1" applyAlignment="1" applyProtection="1">
      <alignment horizontal="center" vertical="center" shrinkToFit="1"/>
      <protection locked="0"/>
    </xf>
    <xf numFmtId="167" fontId="12" fillId="0" borderId="12" xfId="0" applyNumberFormat="1" applyFont="1" applyBorder="1" applyAlignment="1" applyProtection="1">
      <alignment horizontal="center" vertical="center" shrinkToFit="1"/>
      <protection locked="0"/>
    </xf>
    <xf numFmtId="167" fontId="12" fillId="0" borderId="13" xfId="0" applyNumberFormat="1" applyFont="1" applyBorder="1" applyAlignment="1" applyProtection="1">
      <alignment horizontal="center" vertical="center" shrinkToFit="1"/>
      <protection locked="0"/>
    </xf>
    <xf numFmtId="167" fontId="12" fillId="0" borderId="14" xfId="0" applyNumberFormat="1" applyFont="1" applyBorder="1" applyAlignment="1" applyProtection="1">
      <alignment horizontal="center" vertical="center" shrinkToFit="1"/>
      <protection locked="0"/>
    </xf>
    <xf numFmtId="167" fontId="12" fillId="0" borderId="15" xfId="0" applyNumberFormat="1" applyFont="1" applyBorder="1" applyAlignment="1" applyProtection="1">
      <alignment horizontal="center" vertical="center" shrinkToFit="1"/>
      <protection locked="0"/>
    </xf>
    <xf numFmtId="167" fontId="12" fillId="0" borderId="16" xfId="0" applyNumberFormat="1" applyFont="1" applyBorder="1" applyAlignment="1" applyProtection="1">
      <alignment horizontal="center" vertical="center" shrinkToFit="1"/>
      <protection locked="0"/>
    </xf>
    <xf numFmtId="167" fontId="12" fillId="0" borderId="17" xfId="0" applyNumberFormat="1" applyFont="1" applyBorder="1" applyAlignment="1" applyProtection="1">
      <alignment horizontal="center" vertical="center" shrinkToFit="1"/>
      <protection locked="0"/>
    </xf>
    <xf numFmtId="167" fontId="12" fillId="0" borderId="18" xfId="0" applyNumberFormat="1" applyFont="1" applyBorder="1" applyAlignment="1" applyProtection="1">
      <alignment horizontal="center" vertical="center" shrinkToFit="1"/>
      <protection locked="0"/>
    </xf>
    <xf numFmtId="167" fontId="12" fillId="0" borderId="19" xfId="0" applyNumberFormat="1" applyFont="1" applyBorder="1" applyAlignment="1" applyProtection="1">
      <alignment horizontal="center" vertical="center" shrinkToFit="1"/>
      <protection locked="0"/>
    </xf>
    <xf numFmtId="167" fontId="12" fillId="0" borderId="20" xfId="0" applyNumberFormat="1" applyFont="1" applyBorder="1" applyAlignment="1" applyProtection="1">
      <alignment horizontal="center" vertical="center" shrinkToFit="1"/>
      <protection locked="0"/>
    </xf>
    <xf numFmtId="167" fontId="12" fillId="0" borderId="21" xfId="0" applyNumberFormat="1" applyFont="1" applyBorder="1" applyAlignment="1" applyProtection="1">
      <alignment horizontal="center" vertical="center" shrinkToFit="1"/>
      <protection locked="0"/>
    </xf>
    <xf numFmtId="167" fontId="12" fillId="0" borderId="22" xfId="0" applyNumberFormat="1" applyFont="1" applyBorder="1" applyAlignment="1" applyProtection="1">
      <alignment horizontal="center" vertical="center" shrinkToFit="1"/>
      <protection locked="0"/>
    </xf>
    <xf numFmtId="0" fontId="1" fillId="0" borderId="0" xfId="0" applyFont="1" applyFill="1" applyAlignment="1" applyProtection="1">
      <alignment horizontal="left" vertical="center"/>
      <protection locked="0"/>
    </xf>
    <xf numFmtId="164" fontId="5" fillId="0" borderId="1" xfId="0" applyNumberFormat="1" applyFont="1" applyFill="1" applyBorder="1" applyAlignment="1" applyProtection="1">
      <alignment horizontal="left" vertical="center" textRotation="90"/>
      <protection locked="0"/>
    </xf>
    <xf numFmtId="164" fontId="5" fillId="0" borderId="2" xfId="0" applyNumberFormat="1" applyFont="1" applyFill="1" applyBorder="1" applyAlignment="1" applyProtection="1">
      <alignment horizontal="left" vertical="center" textRotation="90"/>
      <protection locked="0"/>
    </xf>
    <xf numFmtId="164" fontId="5" fillId="0" borderId="3" xfId="0" applyNumberFormat="1" applyFont="1" applyFill="1" applyBorder="1" applyAlignment="1" applyProtection="1">
      <alignment horizontal="left" vertical="center" textRotation="90"/>
      <protection locked="0"/>
    </xf>
    <xf numFmtId="164" fontId="5" fillId="0" borderId="1" xfId="0" applyNumberFormat="1" applyFont="1" applyFill="1" applyBorder="1" applyAlignment="1" applyProtection="1">
      <alignment horizontal="center" vertical="center" wrapText="1"/>
      <protection locked="0"/>
    </xf>
    <xf numFmtId="164" fontId="5" fillId="0" borderId="2" xfId="0" applyNumberFormat="1" applyFont="1" applyFill="1" applyBorder="1" applyAlignment="1" applyProtection="1">
      <alignment horizontal="center" vertical="center" wrapText="1"/>
      <protection locked="0"/>
    </xf>
    <xf numFmtId="164" fontId="5" fillId="0" borderId="4" xfId="0" applyNumberFormat="1" applyFont="1" applyFill="1" applyBorder="1" applyAlignment="1" applyProtection="1">
      <alignment horizontal="left" vertical="center" wrapText="1"/>
      <protection locked="0"/>
    </xf>
    <xf numFmtId="164" fontId="5" fillId="0" borderId="4" xfId="0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Alignment="1" applyProtection="1">
      <alignment horizontal="center" vertical="center"/>
      <protection locked="0"/>
    </xf>
    <xf numFmtId="0" fontId="14" fillId="0" borderId="0" xfId="0" applyFont="1" applyFill="1" applyAlignment="1" applyProtection="1">
      <alignment horizontal="right" vertical="center"/>
      <protection locked="0"/>
    </xf>
    <xf numFmtId="0" fontId="2" fillId="0" borderId="0" xfId="0" applyFont="1" applyFill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horizontal="center" vertical="center"/>
      <protection locked="0"/>
    </xf>
    <xf numFmtId="0" fontId="1" fillId="0" borderId="27" xfId="0" applyFont="1" applyFill="1" applyBorder="1" applyAlignment="1" applyProtection="1">
      <alignment horizontal="left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5" fillId="2" borderId="4" xfId="0" applyFont="1" applyFill="1" applyBorder="1" applyAlignment="1" applyProtection="1">
      <alignment horizontal="center" vertical="center" wrapText="1"/>
    </xf>
    <xf numFmtId="0" fontId="5" fillId="2" borderId="4" xfId="0" applyFont="1" applyFill="1" applyBorder="1" applyAlignment="1" applyProtection="1">
      <alignment horizontal="center" vertical="center"/>
    </xf>
    <xf numFmtId="164" fontId="5" fillId="0" borderId="24" xfId="0" applyNumberFormat="1" applyFont="1" applyFill="1" applyBorder="1" applyAlignment="1" applyProtection="1">
      <alignment horizontal="left" vertical="center"/>
      <protection locked="0"/>
    </xf>
    <xf numFmtId="164" fontId="5" fillId="0" borderId="25" xfId="0" applyNumberFormat="1" applyFont="1" applyFill="1" applyBorder="1" applyAlignment="1" applyProtection="1">
      <alignment horizontal="left" vertical="center"/>
      <protection locked="0"/>
    </xf>
    <xf numFmtId="164" fontId="5" fillId="0" borderId="6" xfId="0" applyNumberFormat="1" applyFont="1" applyFill="1" applyBorder="1" applyAlignment="1" applyProtection="1">
      <alignment horizontal="left" vertical="center" wrapText="1"/>
      <protection locked="0"/>
    </xf>
    <xf numFmtId="164" fontId="5" fillId="0" borderId="23" xfId="0" applyNumberFormat="1" applyFont="1" applyFill="1" applyBorder="1" applyAlignment="1" applyProtection="1">
      <alignment horizontal="left" vertical="center" wrapText="1"/>
      <protection locked="0"/>
    </xf>
    <xf numFmtId="164" fontId="5" fillId="0" borderId="24" xfId="0" applyNumberFormat="1" applyFont="1" applyFill="1" applyBorder="1" applyAlignment="1" applyProtection="1">
      <alignment horizontal="left" vertical="center" wrapText="1"/>
      <protection locked="0"/>
    </xf>
    <xf numFmtId="164" fontId="5" fillId="0" borderId="25" xfId="0" applyNumberFormat="1" applyFont="1" applyFill="1" applyBorder="1" applyAlignment="1" applyProtection="1">
      <alignment horizontal="left" vertical="center" wrapText="1"/>
      <protection locked="0"/>
    </xf>
    <xf numFmtId="164" fontId="6" fillId="0" borderId="30" xfId="0" applyNumberFormat="1" applyFont="1" applyFill="1" applyBorder="1" applyAlignment="1" applyProtection="1">
      <alignment horizontal="center" vertical="center" textRotation="90"/>
      <protection locked="0"/>
    </xf>
    <xf numFmtId="164" fontId="6" fillId="0" borderId="7" xfId="0" applyNumberFormat="1" applyFont="1" applyFill="1" applyBorder="1" applyAlignment="1" applyProtection="1">
      <alignment horizontal="center" vertical="center" textRotation="90"/>
      <protection locked="0"/>
    </xf>
    <xf numFmtId="164" fontId="5" fillId="0" borderId="5" xfId="0" applyNumberFormat="1" applyFont="1" applyFill="1" applyBorder="1" applyAlignment="1" applyProtection="1">
      <alignment horizontal="center" vertical="center" wrapText="1"/>
      <protection locked="0"/>
    </xf>
    <xf numFmtId="164" fontId="5" fillId="0" borderId="29" xfId="0" applyNumberFormat="1" applyFont="1" applyFill="1" applyBorder="1" applyAlignment="1" applyProtection="1">
      <alignment horizontal="center" vertical="center" wrapText="1"/>
      <protection locked="0"/>
    </xf>
    <xf numFmtId="164" fontId="5" fillId="0" borderId="6" xfId="0" applyNumberFormat="1" applyFont="1" applyFill="1" applyBorder="1" applyAlignment="1" applyProtection="1">
      <alignment horizontal="center" vertical="center" wrapText="1"/>
      <protection locked="0"/>
    </xf>
    <xf numFmtId="164" fontId="5" fillId="0" borderId="23" xfId="0" applyNumberFormat="1" applyFont="1" applyFill="1" applyBorder="1" applyAlignment="1" applyProtection="1">
      <alignment horizontal="center" vertical="center" wrapText="1"/>
      <protection locked="0"/>
    </xf>
    <xf numFmtId="164" fontId="5" fillId="0" borderId="24" xfId="0" applyNumberFormat="1" applyFont="1" applyFill="1" applyBorder="1" applyAlignment="1" applyProtection="1">
      <alignment horizontal="center" vertical="center" wrapText="1"/>
      <protection locked="0"/>
    </xf>
    <xf numFmtId="164" fontId="5" fillId="0" borderId="25" xfId="0" applyNumberFormat="1" applyFont="1" applyFill="1" applyBorder="1" applyAlignment="1" applyProtection="1">
      <alignment horizontal="center" vertical="center" wrapText="1"/>
      <protection locked="0"/>
    </xf>
    <xf numFmtId="164" fontId="5" fillId="0" borderId="5" xfId="0" applyNumberFormat="1" applyFont="1" applyFill="1" applyBorder="1" applyAlignment="1" applyProtection="1">
      <alignment horizontal="left" vertical="center" wrapText="1"/>
      <protection locked="0"/>
    </xf>
    <xf numFmtId="164" fontId="5" fillId="0" borderId="29" xfId="0" applyNumberFormat="1" applyFont="1" applyFill="1" applyBorder="1" applyAlignment="1" applyProtection="1">
      <alignment horizontal="left" vertical="center" wrapText="1"/>
      <protection locked="0"/>
    </xf>
    <xf numFmtId="164" fontId="6" fillId="0" borderId="5" xfId="0" applyNumberFormat="1" applyFont="1" applyFill="1" applyBorder="1" applyAlignment="1" applyProtection="1">
      <alignment horizontal="center" vertical="center" textRotation="90"/>
      <protection locked="0"/>
    </xf>
    <xf numFmtId="164" fontId="6" fillId="0" borderId="29" xfId="0" applyNumberFormat="1" applyFont="1" applyFill="1" applyBorder="1" applyAlignment="1" applyProtection="1">
      <alignment horizontal="center" vertical="center" textRotation="90"/>
      <protection locked="0"/>
    </xf>
    <xf numFmtId="164" fontId="6" fillId="0" borderId="6" xfId="0" applyNumberFormat="1" applyFont="1" applyFill="1" applyBorder="1" applyAlignment="1" applyProtection="1">
      <alignment horizontal="center" vertical="center" textRotation="90"/>
      <protection locked="0"/>
    </xf>
    <xf numFmtId="164" fontId="6" fillId="0" borderId="23" xfId="0" applyNumberFormat="1" applyFont="1" applyFill="1" applyBorder="1" applyAlignment="1" applyProtection="1">
      <alignment horizontal="center" vertical="center" textRotation="90"/>
      <protection locked="0"/>
    </xf>
    <xf numFmtId="164" fontId="6" fillId="0" borderId="24" xfId="0" applyNumberFormat="1" applyFont="1" applyFill="1" applyBorder="1" applyAlignment="1" applyProtection="1">
      <alignment horizontal="center" vertical="center" textRotation="90"/>
      <protection locked="0"/>
    </xf>
    <xf numFmtId="164" fontId="6" fillId="0" borderId="25" xfId="0" applyNumberFormat="1" applyFont="1" applyFill="1" applyBorder="1" applyAlignment="1" applyProtection="1">
      <alignment horizontal="center" vertical="center" textRotation="90"/>
      <protection locked="0"/>
    </xf>
    <xf numFmtId="164" fontId="5" fillId="0" borderId="8" xfId="0" applyNumberFormat="1" applyFont="1" applyFill="1" applyBorder="1" applyAlignment="1" applyProtection="1">
      <alignment horizontal="left" vertical="center"/>
      <protection locked="0"/>
    </xf>
    <xf numFmtId="164" fontId="5" fillId="0" borderId="9" xfId="0" applyNumberFormat="1" applyFont="1" applyFill="1" applyBorder="1" applyAlignment="1" applyProtection="1">
      <alignment horizontal="left" vertical="center"/>
      <protection locked="0"/>
    </xf>
    <xf numFmtId="164" fontId="5" fillId="0" borderId="8" xfId="0" applyNumberFormat="1" applyFont="1" applyFill="1" applyBorder="1" applyAlignment="1" applyProtection="1">
      <alignment horizontal="left" vertical="center" wrapText="1"/>
      <protection locked="0"/>
    </xf>
    <xf numFmtId="164" fontId="5" fillId="0" borderId="9" xfId="0" applyNumberFormat="1" applyFont="1" applyFill="1" applyBorder="1" applyAlignment="1" applyProtection="1">
      <alignment horizontal="left" vertical="center" wrapText="1"/>
      <protection locked="0"/>
    </xf>
    <xf numFmtId="164" fontId="6" fillId="0" borderId="1" xfId="0" applyNumberFormat="1" applyFont="1" applyFill="1" applyBorder="1" applyAlignment="1" applyProtection="1">
      <alignment horizontal="center" vertical="center" textRotation="90" wrapText="1"/>
      <protection locked="0"/>
    </xf>
    <xf numFmtId="164" fontId="6" fillId="0" borderId="2" xfId="0" applyNumberFormat="1" applyFont="1" applyFill="1" applyBorder="1" applyAlignment="1" applyProtection="1">
      <alignment horizontal="center" vertical="center" textRotation="90" wrapText="1"/>
      <protection locked="0"/>
    </xf>
    <xf numFmtId="164" fontId="6" fillId="0" borderId="3" xfId="0" applyNumberFormat="1" applyFont="1" applyFill="1" applyBorder="1" applyAlignment="1" applyProtection="1">
      <alignment horizontal="center" vertical="center" textRotation="90" wrapText="1"/>
      <protection locked="0"/>
    </xf>
    <xf numFmtId="164" fontId="6" fillId="0" borderId="8" xfId="0" applyNumberFormat="1" applyFont="1" applyFill="1" applyBorder="1" applyAlignment="1" applyProtection="1">
      <alignment horizontal="center" vertical="center" wrapText="1"/>
      <protection locked="0"/>
    </xf>
    <xf numFmtId="164" fontId="6" fillId="0" borderId="9" xfId="0" applyNumberFormat="1" applyFont="1" applyFill="1" applyBorder="1" applyAlignment="1" applyProtection="1">
      <alignment horizontal="center" vertical="center" wrapText="1"/>
      <protection locked="0"/>
    </xf>
    <xf numFmtId="164" fontId="6" fillId="0" borderId="26" xfId="0" applyNumberFormat="1" applyFont="1" applyFill="1" applyBorder="1" applyAlignment="1" applyProtection="1">
      <alignment horizontal="center" vertical="center" wrapText="1"/>
      <protection locked="0"/>
    </xf>
    <xf numFmtId="164" fontId="6" fillId="0" borderId="27" xfId="0" applyNumberFormat="1" applyFont="1" applyFill="1" applyBorder="1" applyAlignment="1" applyProtection="1">
      <alignment horizontal="center" vertical="center"/>
      <protection locked="0"/>
    </xf>
    <xf numFmtId="164" fontId="6" fillId="0" borderId="28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164" fontId="0" fillId="0" borderId="3" xfId="0" applyNumberFormat="1" applyFill="1" applyBorder="1" applyProtection="1">
      <protection locked="0"/>
    </xf>
    <xf numFmtId="164" fontId="5" fillId="0" borderId="6" xfId="0" applyNumberFormat="1" applyFont="1" applyFill="1" applyBorder="1" applyAlignment="1" applyProtection="1">
      <alignment horizontal="left" vertical="center"/>
      <protection locked="0"/>
    </xf>
    <xf numFmtId="164" fontId="5" fillId="0" borderId="23" xfId="0" applyNumberFormat="1" applyFont="1" applyFill="1" applyBorder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BA0A2-A554-4166-A7B7-1ACA3BE06116}">
  <sheetPr>
    <tabColor rgb="FFFF0000"/>
  </sheetPr>
  <dimension ref="A1:AK76"/>
  <sheetViews>
    <sheetView showZeros="0" tabSelected="1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W48" sqref="W48"/>
    </sheetView>
  </sheetViews>
  <sheetFormatPr defaultColWidth="8.75" defaultRowHeight="15.5" x14ac:dyDescent="0.35"/>
  <cols>
    <col min="1" max="3" width="3.25" style="41" customWidth="1"/>
    <col min="4" max="4" width="9.75" style="41" customWidth="1"/>
    <col min="5" max="5" width="2.33203125" style="6" customWidth="1"/>
    <col min="6" max="6" width="5.75" style="40" customWidth="1"/>
    <col min="7" max="7" width="5.5" style="40" customWidth="1"/>
    <col min="8" max="15" width="6.33203125" style="40" customWidth="1"/>
    <col min="16" max="16" width="6.83203125" style="40" customWidth="1"/>
    <col min="17" max="19" width="3.5" style="5" customWidth="1"/>
    <col min="20" max="23" width="5.33203125" style="6" customWidth="1"/>
    <col min="24" max="25" width="3.5" style="5" customWidth="1"/>
    <col min="26" max="26" width="5.08203125" style="5" customWidth="1"/>
    <col min="27" max="27" width="4.25" style="5" customWidth="1"/>
    <col min="28" max="30" width="3.5" style="5" customWidth="1"/>
    <col min="31" max="31" width="3.83203125" style="5" customWidth="1"/>
    <col min="32" max="34" width="3.5" style="5" customWidth="1"/>
    <col min="35" max="35" width="3.83203125" style="5" customWidth="1"/>
    <col min="36" max="37" width="3.5" style="5" customWidth="1"/>
    <col min="38" max="16384" width="8.75" style="7"/>
  </cols>
  <sheetData>
    <row r="1" spans="1:31" ht="14.65" customHeight="1" x14ac:dyDescent="0.35">
      <c r="A1" s="61" t="s">
        <v>39</v>
      </c>
      <c r="B1" s="61"/>
      <c r="C1" s="61"/>
      <c r="D1" s="61"/>
      <c r="E1" s="69" t="s">
        <v>0</v>
      </c>
      <c r="F1" s="69"/>
      <c r="G1" s="69"/>
      <c r="H1" s="69"/>
      <c r="I1" s="69"/>
      <c r="J1" s="69"/>
      <c r="K1" s="69"/>
      <c r="L1" s="69"/>
      <c r="M1" s="69"/>
      <c r="N1" s="69"/>
      <c r="O1" s="70" t="s">
        <v>1</v>
      </c>
      <c r="P1" s="70"/>
    </row>
    <row r="2" spans="1:31" ht="14.65" customHeight="1" x14ac:dyDescent="0.35">
      <c r="A2" s="61" t="s">
        <v>44</v>
      </c>
      <c r="B2" s="61"/>
      <c r="C2" s="61"/>
      <c r="D2" s="61"/>
      <c r="E2" s="71" t="s">
        <v>38</v>
      </c>
      <c r="F2" s="72"/>
      <c r="G2" s="72"/>
      <c r="H2" s="72"/>
      <c r="I2" s="72"/>
      <c r="J2" s="72"/>
      <c r="K2" s="72"/>
      <c r="L2" s="72"/>
      <c r="M2" s="72"/>
      <c r="N2" s="72"/>
      <c r="O2" s="8"/>
      <c r="P2" s="8"/>
    </row>
    <row r="3" spans="1:31" ht="14.65" customHeight="1" x14ac:dyDescent="0.35">
      <c r="A3" s="73"/>
      <c r="B3" s="73"/>
      <c r="C3" s="73"/>
      <c r="D3" s="73"/>
      <c r="E3" s="74"/>
      <c r="F3" s="74"/>
      <c r="G3" s="74"/>
      <c r="H3" s="74"/>
      <c r="I3" s="74"/>
      <c r="J3" s="74"/>
      <c r="K3" s="74"/>
      <c r="L3" s="74"/>
      <c r="M3" s="74"/>
      <c r="N3" s="74"/>
      <c r="O3" s="9"/>
      <c r="P3" s="10"/>
    </row>
    <row r="4" spans="1:31" s="12" customFormat="1" ht="14.65" customHeight="1" x14ac:dyDescent="0.35">
      <c r="A4" s="67" t="s">
        <v>2</v>
      </c>
      <c r="B4" s="68"/>
      <c r="C4" s="68"/>
      <c r="D4" s="68"/>
      <c r="E4" s="11">
        <v>1</v>
      </c>
      <c r="F4" s="4">
        <v>2019</v>
      </c>
      <c r="G4" s="4">
        <v>2018</v>
      </c>
      <c r="H4" s="4">
        <v>2017</v>
      </c>
      <c r="I4" s="4">
        <v>2016</v>
      </c>
      <c r="J4" s="4">
        <v>2015</v>
      </c>
      <c r="K4" s="75" t="s">
        <v>3</v>
      </c>
      <c r="L4" s="4">
        <v>2014</v>
      </c>
      <c r="M4" s="4">
        <v>2013</v>
      </c>
      <c r="N4" s="4">
        <v>2012</v>
      </c>
      <c r="O4" s="4">
        <v>2011</v>
      </c>
      <c r="P4" s="75" t="s">
        <v>4</v>
      </c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spans="1:31" s="12" customFormat="1" ht="14.65" customHeight="1" x14ac:dyDescent="0.35">
      <c r="A5" s="67" t="s">
        <v>5</v>
      </c>
      <c r="B5" s="68"/>
      <c r="C5" s="68"/>
      <c r="D5" s="68"/>
      <c r="E5" s="11">
        <v>2</v>
      </c>
      <c r="F5" s="4">
        <v>6</v>
      </c>
      <c r="G5" s="4">
        <v>7</v>
      </c>
      <c r="H5" s="4">
        <v>8</v>
      </c>
      <c r="I5" s="4">
        <v>9</v>
      </c>
      <c r="J5" s="4">
        <v>10</v>
      </c>
      <c r="K5" s="76"/>
      <c r="L5" s="4">
        <v>11</v>
      </c>
      <c r="M5" s="4">
        <v>12</v>
      </c>
      <c r="N5" s="4">
        <v>13</v>
      </c>
      <c r="O5" s="4">
        <v>14</v>
      </c>
      <c r="P5" s="76"/>
      <c r="T5" s="6"/>
      <c r="U5" s="6"/>
      <c r="V5" s="6"/>
      <c r="W5" s="6"/>
    </row>
    <row r="6" spans="1:31" s="12" customFormat="1" ht="14.65" customHeight="1" x14ac:dyDescent="0.35">
      <c r="A6" s="67" t="s">
        <v>6</v>
      </c>
      <c r="B6" s="68"/>
      <c r="C6" s="68"/>
      <c r="D6" s="68"/>
      <c r="E6" s="11">
        <v>3</v>
      </c>
      <c r="F6" s="49">
        <v>2449</v>
      </c>
      <c r="G6" s="50">
        <v>2152</v>
      </c>
      <c r="H6" s="50">
        <v>2331</v>
      </c>
      <c r="I6" s="50">
        <v>2079</v>
      </c>
      <c r="J6" s="51">
        <v>2408</v>
      </c>
      <c r="K6" s="42">
        <f>SUM(F6:J6)</f>
        <v>11419</v>
      </c>
      <c r="L6" s="49">
        <v>2228</v>
      </c>
      <c r="M6" s="50">
        <v>2280</v>
      </c>
      <c r="N6" s="50">
        <v>2592</v>
      </c>
      <c r="O6" s="51">
        <v>2161</v>
      </c>
      <c r="P6" s="42">
        <f>SUM(L6:O6)</f>
        <v>9261</v>
      </c>
      <c r="T6" s="6"/>
      <c r="U6" s="6"/>
      <c r="V6" s="6"/>
      <c r="W6" s="6"/>
    </row>
    <row r="7" spans="1:31" s="12" customFormat="1" ht="14.65" customHeight="1" x14ac:dyDescent="0.35">
      <c r="A7" s="68" t="s">
        <v>7</v>
      </c>
      <c r="B7" s="68"/>
      <c r="C7" s="68"/>
      <c r="D7" s="68"/>
      <c r="E7" s="11">
        <v>4</v>
      </c>
      <c r="F7" s="52">
        <v>1020</v>
      </c>
      <c r="G7" s="53">
        <v>865</v>
      </c>
      <c r="H7" s="53">
        <v>900</v>
      </c>
      <c r="I7" s="53">
        <v>822</v>
      </c>
      <c r="J7" s="54">
        <v>950</v>
      </c>
      <c r="K7" s="42">
        <f t="shared" ref="K7:K38" si="0">SUM(F7:J7)</f>
        <v>4557</v>
      </c>
      <c r="L7" s="52">
        <v>879</v>
      </c>
      <c r="M7" s="53">
        <v>956</v>
      </c>
      <c r="N7" s="53">
        <v>1054</v>
      </c>
      <c r="O7" s="54">
        <v>931</v>
      </c>
      <c r="P7" s="42">
        <f t="shared" ref="P7:P38" si="1">SUM(L7:O7)</f>
        <v>3820</v>
      </c>
      <c r="T7" s="6"/>
      <c r="U7" s="6"/>
      <c r="V7" s="6"/>
      <c r="W7" s="6"/>
    </row>
    <row r="8" spans="1:31" s="12" customFormat="1" ht="14.65" customHeight="1" x14ac:dyDescent="0.35">
      <c r="A8" s="67" t="s">
        <v>8</v>
      </c>
      <c r="B8" s="68"/>
      <c r="C8" s="68"/>
      <c r="D8" s="68"/>
      <c r="E8" s="11">
        <v>5</v>
      </c>
      <c r="F8" s="55">
        <v>0</v>
      </c>
      <c r="G8" s="56">
        <v>2</v>
      </c>
      <c r="H8" s="56">
        <v>0</v>
      </c>
      <c r="I8" s="56">
        <v>3</v>
      </c>
      <c r="J8" s="57">
        <v>1</v>
      </c>
      <c r="K8" s="42">
        <f t="shared" si="0"/>
        <v>6</v>
      </c>
      <c r="L8" s="55">
        <v>2</v>
      </c>
      <c r="M8" s="56">
        <v>1</v>
      </c>
      <c r="N8" s="56">
        <v>1</v>
      </c>
      <c r="O8" s="57">
        <v>0</v>
      </c>
      <c r="P8" s="42">
        <f t="shared" si="1"/>
        <v>4</v>
      </c>
      <c r="T8" s="6"/>
      <c r="U8" s="6"/>
      <c r="V8" s="6"/>
      <c r="W8" s="6"/>
    </row>
    <row r="9" spans="1:31" s="12" customFormat="1" ht="14.65" customHeight="1" x14ac:dyDescent="0.35">
      <c r="A9" s="85" t="s">
        <v>9</v>
      </c>
      <c r="B9" s="86"/>
      <c r="C9" s="91" t="s">
        <v>6</v>
      </c>
      <c r="D9" s="92"/>
      <c r="E9" s="13">
        <v>6</v>
      </c>
      <c r="F9" s="49">
        <v>8</v>
      </c>
      <c r="G9" s="50">
        <v>8</v>
      </c>
      <c r="H9" s="50">
        <v>9</v>
      </c>
      <c r="I9" s="50">
        <v>19</v>
      </c>
      <c r="J9" s="51">
        <v>24</v>
      </c>
      <c r="K9" s="43">
        <f t="shared" si="0"/>
        <v>68</v>
      </c>
      <c r="L9" s="49">
        <v>21</v>
      </c>
      <c r="M9" s="50">
        <v>15</v>
      </c>
      <c r="N9" s="50">
        <v>23</v>
      </c>
      <c r="O9" s="51">
        <v>13</v>
      </c>
      <c r="P9" s="43">
        <f t="shared" si="1"/>
        <v>72</v>
      </c>
      <c r="T9" s="6"/>
      <c r="U9" s="6"/>
      <c r="V9" s="6"/>
      <c r="W9" s="6"/>
    </row>
    <row r="10" spans="1:31" s="12" customFormat="1" ht="14.65" customHeight="1" x14ac:dyDescent="0.35">
      <c r="A10" s="87"/>
      <c r="B10" s="88"/>
      <c r="C10" s="79" t="s">
        <v>10</v>
      </c>
      <c r="D10" s="80"/>
      <c r="E10" s="14">
        <v>7</v>
      </c>
      <c r="F10" s="52">
        <v>5</v>
      </c>
      <c r="G10" s="53">
        <v>5</v>
      </c>
      <c r="H10" s="53">
        <v>7</v>
      </c>
      <c r="I10" s="53">
        <v>11</v>
      </c>
      <c r="J10" s="54">
        <v>17</v>
      </c>
      <c r="K10" s="44">
        <f t="shared" si="0"/>
        <v>45</v>
      </c>
      <c r="L10" s="52">
        <v>13</v>
      </c>
      <c r="M10" s="53">
        <v>12</v>
      </c>
      <c r="N10" s="53">
        <v>13</v>
      </c>
      <c r="O10" s="54">
        <v>7</v>
      </c>
      <c r="P10" s="44">
        <f t="shared" si="1"/>
        <v>45</v>
      </c>
      <c r="T10" s="6"/>
      <c r="U10" s="6"/>
      <c r="V10" s="6"/>
      <c r="W10" s="6"/>
    </row>
    <row r="11" spans="1:31" s="12" customFormat="1" ht="12.75" customHeight="1" x14ac:dyDescent="0.35">
      <c r="A11" s="89"/>
      <c r="B11" s="90"/>
      <c r="C11" s="81" t="s">
        <v>11</v>
      </c>
      <c r="D11" s="82"/>
      <c r="E11" s="15">
        <v>8</v>
      </c>
      <c r="F11" s="55">
        <v>5</v>
      </c>
      <c r="G11" s="56">
        <v>5</v>
      </c>
      <c r="H11" s="56">
        <v>7</v>
      </c>
      <c r="I11" s="56">
        <v>11</v>
      </c>
      <c r="J11" s="57">
        <v>17</v>
      </c>
      <c r="K11" s="45">
        <f t="shared" si="0"/>
        <v>45</v>
      </c>
      <c r="L11" s="55">
        <v>13</v>
      </c>
      <c r="M11" s="56">
        <v>12</v>
      </c>
      <c r="N11" s="56">
        <v>13</v>
      </c>
      <c r="O11" s="57">
        <v>7</v>
      </c>
      <c r="P11" s="45">
        <f t="shared" si="1"/>
        <v>45</v>
      </c>
      <c r="T11" s="6"/>
      <c r="U11" s="6"/>
      <c r="V11" s="6"/>
      <c r="W11" s="6"/>
    </row>
    <row r="12" spans="1:31" s="12" customFormat="1" ht="14.65" customHeight="1" x14ac:dyDescent="0.35">
      <c r="A12" s="67" t="s">
        <v>12</v>
      </c>
      <c r="B12" s="68"/>
      <c r="C12" s="68"/>
      <c r="D12" s="68"/>
      <c r="E12" s="11">
        <v>9</v>
      </c>
      <c r="F12" s="49">
        <v>2278</v>
      </c>
      <c r="G12" s="50">
        <v>2039</v>
      </c>
      <c r="H12" s="50">
        <v>2228</v>
      </c>
      <c r="I12" s="50">
        <v>1976</v>
      </c>
      <c r="J12" s="51">
        <v>2276</v>
      </c>
      <c r="K12" s="42">
        <f t="shared" si="0"/>
        <v>10797</v>
      </c>
      <c r="L12" s="49">
        <v>2086</v>
      </c>
      <c r="M12" s="50">
        <v>2171</v>
      </c>
      <c r="N12" s="50">
        <v>2478</v>
      </c>
      <c r="O12" s="51">
        <v>2069</v>
      </c>
      <c r="P12" s="42">
        <f t="shared" si="1"/>
        <v>8804</v>
      </c>
      <c r="T12" s="6"/>
      <c r="U12" s="6"/>
      <c r="V12" s="6"/>
      <c r="W12" s="6"/>
    </row>
    <row r="13" spans="1:31" s="12" customFormat="1" ht="14.65" customHeight="1" x14ac:dyDescent="0.35">
      <c r="A13" s="83" t="s">
        <v>13</v>
      </c>
      <c r="B13" s="62" t="s">
        <v>14</v>
      </c>
      <c r="C13" s="65" t="s">
        <v>15</v>
      </c>
      <c r="D13" s="16" t="s">
        <v>16</v>
      </c>
      <c r="E13" s="13">
        <v>10</v>
      </c>
      <c r="F13" s="49">
        <v>2271</v>
      </c>
      <c r="G13" s="50">
        <v>29</v>
      </c>
      <c r="H13" s="50">
        <v>1</v>
      </c>
      <c r="I13" s="50">
        <v>1</v>
      </c>
      <c r="J13" s="51">
        <v>0</v>
      </c>
      <c r="K13" s="43">
        <f t="shared" si="0"/>
        <v>2302</v>
      </c>
      <c r="L13" s="1"/>
      <c r="M13" s="1"/>
      <c r="N13" s="1"/>
      <c r="O13" s="1"/>
      <c r="P13" s="43">
        <f t="shared" si="1"/>
        <v>0</v>
      </c>
      <c r="T13" s="6"/>
      <c r="U13" s="6"/>
      <c r="V13" s="6"/>
      <c r="W13" s="6"/>
    </row>
    <row r="14" spans="1:31" s="12" customFormat="1" ht="14.65" customHeight="1" x14ac:dyDescent="0.35">
      <c r="A14" s="83"/>
      <c r="B14" s="63"/>
      <c r="C14" s="66"/>
      <c r="D14" s="17" t="s">
        <v>17</v>
      </c>
      <c r="E14" s="14">
        <v>11</v>
      </c>
      <c r="F14" s="2"/>
      <c r="G14" s="2"/>
      <c r="H14" s="2"/>
      <c r="I14" s="2"/>
      <c r="J14" s="2"/>
      <c r="K14" s="44">
        <f t="shared" si="0"/>
        <v>0</v>
      </c>
      <c r="L14" s="2"/>
      <c r="M14" s="2"/>
      <c r="N14" s="2"/>
      <c r="O14" s="2"/>
      <c r="P14" s="44">
        <f t="shared" si="1"/>
        <v>0</v>
      </c>
      <c r="T14" s="6"/>
      <c r="U14" s="6"/>
      <c r="V14" s="6"/>
      <c r="W14" s="6"/>
    </row>
    <row r="15" spans="1:31" s="12" customFormat="1" ht="14.65" customHeight="1" x14ac:dyDescent="0.35">
      <c r="A15" s="83"/>
      <c r="B15" s="64"/>
      <c r="C15" s="77" t="s">
        <v>18</v>
      </c>
      <c r="D15" s="78"/>
      <c r="E15" s="15">
        <v>12</v>
      </c>
      <c r="F15" s="3"/>
      <c r="G15" s="3"/>
      <c r="H15" s="3"/>
      <c r="I15" s="3"/>
      <c r="J15" s="3"/>
      <c r="K15" s="45">
        <f t="shared" si="0"/>
        <v>0</v>
      </c>
      <c r="L15" s="3"/>
      <c r="M15" s="3"/>
      <c r="N15" s="3"/>
      <c r="O15" s="3"/>
      <c r="P15" s="45">
        <f t="shared" si="1"/>
        <v>0</v>
      </c>
      <c r="T15" s="6"/>
      <c r="U15" s="6"/>
      <c r="V15" s="6"/>
      <c r="W15" s="6"/>
    </row>
    <row r="16" spans="1:31" s="12" customFormat="1" ht="14.65" customHeight="1" x14ac:dyDescent="0.35">
      <c r="A16" s="83"/>
      <c r="B16" s="62" t="s">
        <v>19</v>
      </c>
      <c r="C16" s="65" t="s">
        <v>15</v>
      </c>
      <c r="D16" s="16" t="s">
        <v>16</v>
      </c>
      <c r="E16" s="13">
        <v>13</v>
      </c>
      <c r="F16" s="52">
        <v>0</v>
      </c>
      <c r="G16" s="53">
        <v>2010</v>
      </c>
      <c r="H16" s="53">
        <v>30</v>
      </c>
      <c r="I16" s="53">
        <v>5</v>
      </c>
      <c r="J16" s="54">
        <v>0</v>
      </c>
      <c r="K16" s="43">
        <f t="shared" si="0"/>
        <v>2045</v>
      </c>
      <c r="L16" s="1"/>
      <c r="M16" s="1"/>
      <c r="N16" s="1"/>
      <c r="O16" s="1"/>
      <c r="P16" s="43">
        <f t="shared" si="1"/>
        <v>0</v>
      </c>
      <c r="T16" s="6"/>
      <c r="U16" s="6"/>
      <c r="V16" s="6"/>
      <c r="W16" s="6"/>
    </row>
    <row r="17" spans="1:23" s="12" customFormat="1" ht="14.65" customHeight="1" x14ac:dyDescent="0.35">
      <c r="A17" s="83"/>
      <c r="B17" s="63"/>
      <c r="C17" s="66"/>
      <c r="D17" s="17" t="s">
        <v>17</v>
      </c>
      <c r="E17" s="14">
        <v>14</v>
      </c>
      <c r="F17" s="2"/>
      <c r="G17" s="2"/>
      <c r="H17" s="2"/>
      <c r="I17" s="2"/>
      <c r="J17" s="2"/>
      <c r="K17" s="44">
        <f t="shared" si="0"/>
        <v>0</v>
      </c>
      <c r="L17" s="2"/>
      <c r="M17" s="2"/>
      <c r="N17" s="2"/>
      <c r="O17" s="2"/>
      <c r="P17" s="44">
        <f t="shared" si="1"/>
        <v>0</v>
      </c>
      <c r="T17" s="6"/>
      <c r="U17" s="6"/>
      <c r="V17" s="6"/>
      <c r="W17" s="6"/>
    </row>
    <row r="18" spans="1:23" s="12" customFormat="1" ht="14.65" customHeight="1" x14ac:dyDescent="0.35">
      <c r="A18" s="83"/>
      <c r="B18" s="64"/>
      <c r="C18" s="77" t="s">
        <v>18</v>
      </c>
      <c r="D18" s="78"/>
      <c r="E18" s="15">
        <v>15</v>
      </c>
      <c r="F18" s="3"/>
      <c r="G18" s="3"/>
      <c r="H18" s="3"/>
      <c r="I18" s="3"/>
      <c r="J18" s="3"/>
      <c r="K18" s="45">
        <f t="shared" si="0"/>
        <v>0</v>
      </c>
      <c r="L18" s="3"/>
      <c r="M18" s="3"/>
      <c r="N18" s="3"/>
      <c r="O18" s="3"/>
      <c r="P18" s="45">
        <f t="shared" si="1"/>
        <v>0</v>
      </c>
      <c r="T18" s="6"/>
      <c r="U18" s="6"/>
      <c r="V18" s="6"/>
      <c r="W18" s="6"/>
    </row>
    <row r="19" spans="1:23" s="12" customFormat="1" ht="14.65" customHeight="1" x14ac:dyDescent="0.35">
      <c r="A19" s="83"/>
      <c r="B19" s="62" t="s">
        <v>20</v>
      </c>
      <c r="C19" s="65" t="s">
        <v>15</v>
      </c>
      <c r="D19" s="16" t="s">
        <v>16</v>
      </c>
      <c r="E19" s="13">
        <v>16</v>
      </c>
      <c r="F19" s="52">
        <v>0</v>
      </c>
      <c r="G19" s="53">
        <v>0</v>
      </c>
      <c r="H19" s="53">
        <v>2196</v>
      </c>
      <c r="I19" s="53">
        <v>29</v>
      </c>
      <c r="J19" s="54">
        <v>2</v>
      </c>
      <c r="K19" s="43">
        <f t="shared" si="0"/>
        <v>2227</v>
      </c>
      <c r="L19" s="1"/>
      <c r="M19" s="1"/>
      <c r="N19" s="1"/>
      <c r="O19" s="1">
        <v>1</v>
      </c>
      <c r="P19" s="43">
        <f t="shared" si="1"/>
        <v>1</v>
      </c>
      <c r="T19" s="6"/>
      <c r="U19" s="6"/>
      <c r="V19" s="6"/>
      <c r="W19" s="6"/>
    </row>
    <row r="20" spans="1:23" s="12" customFormat="1" ht="14.65" customHeight="1" x14ac:dyDescent="0.35">
      <c r="A20" s="83"/>
      <c r="B20" s="63"/>
      <c r="C20" s="66"/>
      <c r="D20" s="17" t="s">
        <v>17</v>
      </c>
      <c r="E20" s="14">
        <v>17</v>
      </c>
      <c r="F20" s="2"/>
      <c r="G20" s="2"/>
      <c r="H20" s="2"/>
      <c r="I20" s="2"/>
      <c r="J20" s="2"/>
      <c r="K20" s="44">
        <f t="shared" si="0"/>
        <v>0</v>
      </c>
      <c r="L20" s="2"/>
      <c r="M20" s="2"/>
      <c r="N20" s="2"/>
      <c r="O20" s="2"/>
      <c r="P20" s="44">
        <f t="shared" si="1"/>
        <v>0</v>
      </c>
      <c r="T20" s="6"/>
      <c r="U20" s="6"/>
      <c r="V20" s="6"/>
      <c r="W20" s="6"/>
    </row>
    <row r="21" spans="1:23" s="12" customFormat="1" ht="14.65" customHeight="1" x14ac:dyDescent="0.35">
      <c r="A21" s="83"/>
      <c r="B21" s="64"/>
      <c r="C21" s="77" t="s">
        <v>18</v>
      </c>
      <c r="D21" s="78"/>
      <c r="E21" s="15">
        <v>18</v>
      </c>
      <c r="F21" s="3"/>
      <c r="G21" s="3"/>
      <c r="H21" s="3"/>
      <c r="I21" s="3"/>
      <c r="J21" s="3"/>
      <c r="K21" s="45">
        <f t="shared" si="0"/>
        <v>0</v>
      </c>
      <c r="L21" s="3"/>
      <c r="M21" s="3"/>
      <c r="N21" s="3"/>
      <c r="O21" s="3"/>
      <c r="P21" s="45">
        <f t="shared" si="1"/>
        <v>0</v>
      </c>
      <c r="T21" s="6"/>
      <c r="U21" s="6"/>
      <c r="V21" s="6"/>
      <c r="W21" s="6"/>
    </row>
    <row r="22" spans="1:23" s="12" customFormat="1" ht="14.65" customHeight="1" x14ac:dyDescent="0.35">
      <c r="A22" s="83"/>
      <c r="B22" s="62" t="s">
        <v>21</v>
      </c>
      <c r="C22" s="65" t="s">
        <v>15</v>
      </c>
      <c r="D22" s="16" t="s">
        <v>16</v>
      </c>
      <c r="E22" s="13">
        <v>19</v>
      </c>
      <c r="F22" s="52">
        <v>0</v>
      </c>
      <c r="G22" s="53">
        <v>0</v>
      </c>
      <c r="H22" s="53">
        <v>1</v>
      </c>
      <c r="I22" s="53">
        <v>1941</v>
      </c>
      <c r="J22" s="54">
        <v>38</v>
      </c>
      <c r="K22" s="43">
        <f t="shared" si="0"/>
        <v>1980</v>
      </c>
      <c r="L22" s="1"/>
      <c r="M22" s="1"/>
      <c r="N22" s="1"/>
      <c r="O22" s="1">
        <v>1</v>
      </c>
      <c r="P22" s="43">
        <f t="shared" si="1"/>
        <v>1</v>
      </c>
      <c r="T22" s="6"/>
      <c r="U22" s="6"/>
      <c r="V22" s="6"/>
      <c r="W22" s="6"/>
    </row>
    <row r="23" spans="1:23" s="12" customFormat="1" ht="14.65" customHeight="1" x14ac:dyDescent="0.35">
      <c r="A23" s="83"/>
      <c r="B23" s="63"/>
      <c r="C23" s="66"/>
      <c r="D23" s="17" t="s">
        <v>17</v>
      </c>
      <c r="E23" s="14">
        <v>20</v>
      </c>
      <c r="F23" s="2"/>
      <c r="G23" s="2"/>
      <c r="H23" s="2"/>
      <c r="I23" s="2"/>
      <c r="J23" s="2"/>
      <c r="K23" s="44">
        <f t="shared" si="0"/>
        <v>0</v>
      </c>
      <c r="L23" s="2"/>
      <c r="M23" s="2"/>
      <c r="N23" s="2"/>
      <c r="O23" s="2"/>
      <c r="P23" s="44">
        <f t="shared" si="1"/>
        <v>0</v>
      </c>
      <c r="T23" s="6"/>
      <c r="U23" s="6"/>
      <c r="V23" s="6"/>
      <c r="W23" s="6"/>
    </row>
    <row r="24" spans="1:23" s="12" customFormat="1" ht="14.65" customHeight="1" x14ac:dyDescent="0.35">
      <c r="A24" s="83"/>
      <c r="B24" s="64"/>
      <c r="C24" s="77" t="s">
        <v>18</v>
      </c>
      <c r="D24" s="78"/>
      <c r="E24" s="15">
        <v>21</v>
      </c>
      <c r="F24" s="3"/>
      <c r="G24" s="3"/>
      <c r="H24" s="3"/>
      <c r="I24" s="3"/>
      <c r="J24" s="3"/>
      <c r="K24" s="45">
        <f t="shared" si="0"/>
        <v>0</v>
      </c>
      <c r="L24" s="3"/>
      <c r="M24" s="3"/>
      <c r="N24" s="3"/>
      <c r="O24" s="3"/>
      <c r="P24" s="45">
        <f t="shared" si="1"/>
        <v>0</v>
      </c>
      <c r="T24" s="6"/>
      <c r="U24" s="6"/>
      <c r="V24" s="6"/>
      <c r="W24" s="6"/>
    </row>
    <row r="25" spans="1:23" s="12" customFormat="1" ht="14.65" customHeight="1" x14ac:dyDescent="0.35">
      <c r="A25" s="83"/>
      <c r="B25" s="62" t="s">
        <v>22</v>
      </c>
      <c r="C25" s="65" t="s">
        <v>15</v>
      </c>
      <c r="D25" s="16" t="s">
        <v>16</v>
      </c>
      <c r="E25" s="13">
        <v>22</v>
      </c>
      <c r="F25" s="55">
        <v>0</v>
      </c>
      <c r="G25" s="56">
        <v>0</v>
      </c>
      <c r="H25" s="56">
        <v>0</v>
      </c>
      <c r="I25" s="56">
        <v>0</v>
      </c>
      <c r="J25" s="57">
        <v>2236</v>
      </c>
      <c r="K25" s="43">
        <f t="shared" si="0"/>
        <v>2236</v>
      </c>
      <c r="L25" s="55">
        <v>20</v>
      </c>
      <c r="M25" s="56">
        <v>1</v>
      </c>
      <c r="N25" s="56">
        <v>1</v>
      </c>
      <c r="O25" s="57">
        <v>0</v>
      </c>
      <c r="P25" s="43">
        <f t="shared" si="1"/>
        <v>22</v>
      </c>
      <c r="T25" s="6"/>
      <c r="U25" s="6"/>
      <c r="V25" s="6"/>
      <c r="W25" s="6"/>
    </row>
    <row r="26" spans="1:23" s="12" customFormat="1" ht="14.65" customHeight="1" x14ac:dyDescent="0.35">
      <c r="A26" s="83"/>
      <c r="B26" s="63"/>
      <c r="C26" s="66"/>
      <c r="D26" s="17" t="s">
        <v>17</v>
      </c>
      <c r="E26" s="14">
        <v>23</v>
      </c>
      <c r="F26" s="2"/>
      <c r="G26" s="2"/>
      <c r="H26" s="2"/>
      <c r="I26" s="2"/>
      <c r="J26" s="2"/>
      <c r="K26" s="44">
        <f t="shared" si="0"/>
        <v>0</v>
      </c>
      <c r="L26" s="2"/>
      <c r="M26" s="2"/>
      <c r="N26" s="2"/>
      <c r="O26" s="2"/>
      <c r="P26" s="44">
        <f t="shared" si="1"/>
        <v>0</v>
      </c>
      <c r="T26" s="6"/>
      <c r="U26" s="6"/>
      <c r="V26" s="6"/>
      <c r="W26" s="6"/>
    </row>
    <row r="27" spans="1:23" s="12" customFormat="1" ht="14.65" customHeight="1" x14ac:dyDescent="0.35">
      <c r="A27" s="83"/>
      <c r="B27" s="64"/>
      <c r="C27" s="77" t="s">
        <v>18</v>
      </c>
      <c r="D27" s="78"/>
      <c r="E27" s="15">
        <v>24</v>
      </c>
      <c r="F27" s="3"/>
      <c r="G27" s="3"/>
      <c r="H27" s="3"/>
      <c r="I27" s="3"/>
      <c r="J27" s="3"/>
      <c r="K27" s="45">
        <f t="shared" si="0"/>
        <v>0</v>
      </c>
      <c r="L27" s="3"/>
      <c r="M27" s="3"/>
      <c r="N27" s="3"/>
      <c r="O27" s="3"/>
      <c r="P27" s="45">
        <f t="shared" si="1"/>
        <v>0</v>
      </c>
      <c r="T27" s="6"/>
      <c r="U27" s="6"/>
      <c r="V27" s="6"/>
      <c r="W27" s="6"/>
    </row>
    <row r="28" spans="1:23" s="12" customFormat="1" ht="14.65" customHeight="1" x14ac:dyDescent="0.35">
      <c r="A28" s="83"/>
      <c r="B28" s="62" t="s">
        <v>23</v>
      </c>
      <c r="C28" s="65" t="s">
        <v>15</v>
      </c>
      <c r="D28" s="16" t="s">
        <v>16</v>
      </c>
      <c r="E28" s="13">
        <v>25</v>
      </c>
      <c r="F28" s="1"/>
      <c r="G28" s="1"/>
      <c r="H28" s="1"/>
      <c r="I28" s="1"/>
      <c r="J28" s="1"/>
      <c r="K28" s="43">
        <f t="shared" si="0"/>
        <v>0</v>
      </c>
      <c r="L28" s="58">
        <v>2064</v>
      </c>
      <c r="M28" s="59">
        <v>2170</v>
      </c>
      <c r="N28" s="59">
        <v>2476</v>
      </c>
      <c r="O28" s="60">
        <v>2069</v>
      </c>
      <c r="P28" s="43">
        <f t="shared" si="1"/>
        <v>8779</v>
      </c>
      <c r="T28" s="6"/>
      <c r="U28" s="6"/>
      <c r="V28" s="6"/>
      <c r="W28" s="6"/>
    </row>
    <row r="29" spans="1:23" s="12" customFormat="1" ht="14.65" customHeight="1" x14ac:dyDescent="0.35">
      <c r="A29" s="83"/>
      <c r="B29" s="63"/>
      <c r="C29" s="66"/>
      <c r="D29" s="17" t="s">
        <v>17</v>
      </c>
      <c r="E29" s="14">
        <v>26</v>
      </c>
      <c r="F29" s="2"/>
      <c r="G29" s="2"/>
      <c r="H29" s="2"/>
      <c r="I29" s="2"/>
      <c r="J29" s="2"/>
      <c r="K29" s="44">
        <f t="shared" si="0"/>
        <v>0</v>
      </c>
      <c r="L29" s="2"/>
      <c r="M29" s="2"/>
      <c r="N29" s="2"/>
      <c r="O29" s="2"/>
      <c r="P29" s="44">
        <f t="shared" si="1"/>
        <v>0</v>
      </c>
      <c r="T29" s="6"/>
      <c r="U29" s="6"/>
      <c r="V29" s="6"/>
      <c r="W29" s="6"/>
    </row>
    <row r="30" spans="1:23" s="12" customFormat="1" ht="14.65" customHeight="1" x14ac:dyDescent="0.35">
      <c r="A30" s="83"/>
      <c r="B30" s="63"/>
      <c r="C30" s="113" t="s">
        <v>18</v>
      </c>
      <c r="D30" s="114"/>
      <c r="E30" s="14">
        <v>27</v>
      </c>
      <c r="F30" s="2"/>
      <c r="G30" s="2"/>
      <c r="H30" s="2"/>
      <c r="I30" s="2"/>
      <c r="J30" s="2"/>
      <c r="K30" s="44">
        <f t="shared" si="0"/>
        <v>0</v>
      </c>
      <c r="L30" s="2"/>
      <c r="M30" s="2"/>
      <c r="N30" s="2"/>
      <c r="O30" s="2"/>
      <c r="P30" s="44">
        <f t="shared" si="1"/>
        <v>0</v>
      </c>
      <c r="T30" s="6"/>
      <c r="U30" s="6"/>
      <c r="V30" s="6"/>
      <c r="W30" s="6"/>
    </row>
    <row r="31" spans="1:23" s="12" customFormat="1" ht="14.65" customHeight="1" x14ac:dyDescent="0.35">
      <c r="A31" s="84"/>
      <c r="B31" s="112"/>
      <c r="C31" s="81" t="s">
        <v>24</v>
      </c>
      <c r="D31" s="82"/>
      <c r="E31" s="15">
        <v>28</v>
      </c>
      <c r="F31" s="3"/>
      <c r="G31" s="3"/>
      <c r="H31" s="3"/>
      <c r="I31" s="3"/>
      <c r="J31" s="3"/>
      <c r="K31" s="45">
        <f t="shared" si="0"/>
        <v>0</v>
      </c>
      <c r="L31" s="3"/>
      <c r="M31" s="3"/>
      <c r="N31" s="3"/>
      <c r="O31" s="3"/>
      <c r="P31" s="45">
        <f t="shared" si="1"/>
        <v>0</v>
      </c>
      <c r="T31" s="6"/>
      <c r="U31" s="6"/>
      <c r="V31" s="6"/>
      <c r="W31" s="6"/>
    </row>
    <row r="32" spans="1:23" s="12" customFormat="1" ht="14.65" customHeight="1" x14ac:dyDescent="0.35">
      <c r="A32" s="93" t="s">
        <v>25</v>
      </c>
      <c r="B32" s="94"/>
      <c r="C32" s="65" t="s">
        <v>26</v>
      </c>
      <c r="D32" s="18" t="s">
        <v>16</v>
      </c>
      <c r="E32" s="13">
        <v>29</v>
      </c>
      <c r="F32" s="1"/>
      <c r="G32" s="1"/>
      <c r="H32" s="1"/>
      <c r="I32" s="1"/>
      <c r="J32" s="1"/>
      <c r="K32" s="43">
        <f t="shared" si="0"/>
        <v>0</v>
      </c>
      <c r="L32" s="1"/>
      <c r="M32" s="1"/>
      <c r="N32" s="1"/>
      <c r="O32" s="1"/>
      <c r="P32" s="43">
        <f t="shared" si="1"/>
        <v>0</v>
      </c>
      <c r="T32" s="6"/>
      <c r="U32" s="6"/>
      <c r="V32" s="6"/>
      <c r="W32" s="6"/>
    </row>
    <row r="33" spans="1:37" s="12" customFormat="1" ht="14.65" customHeight="1" x14ac:dyDescent="0.35">
      <c r="A33" s="95"/>
      <c r="B33" s="96"/>
      <c r="C33" s="66"/>
      <c r="D33" s="19" t="s">
        <v>17</v>
      </c>
      <c r="E33" s="14">
        <v>30</v>
      </c>
      <c r="F33" s="2"/>
      <c r="G33" s="2"/>
      <c r="H33" s="2"/>
      <c r="I33" s="2"/>
      <c r="J33" s="2"/>
      <c r="K33" s="44">
        <f t="shared" si="0"/>
        <v>0</v>
      </c>
      <c r="L33" s="2"/>
      <c r="M33" s="2"/>
      <c r="N33" s="2"/>
      <c r="O33" s="2"/>
      <c r="P33" s="44">
        <f t="shared" si="1"/>
        <v>0</v>
      </c>
      <c r="T33" s="6"/>
      <c r="U33" s="6"/>
      <c r="V33" s="6"/>
      <c r="W33" s="6"/>
    </row>
    <row r="34" spans="1:37" s="12" customFormat="1" ht="14.65" customHeight="1" x14ac:dyDescent="0.35">
      <c r="A34" s="97"/>
      <c r="B34" s="98"/>
      <c r="C34" s="89" t="s">
        <v>18</v>
      </c>
      <c r="D34" s="90"/>
      <c r="E34" s="15">
        <v>31</v>
      </c>
      <c r="F34" s="3"/>
      <c r="G34" s="3"/>
      <c r="H34" s="3"/>
      <c r="I34" s="3"/>
      <c r="J34" s="3"/>
      <c r="K34" s="45">
        <f t="shared" si="0"/>
        <v>0</v>
      </c>
      <c r="L34" s="3"/>
      <c r="M34" s="3"/>
      <c r="N34" s="3"/>
      <c r="O34" s="3"/>
      <c r="P34" s="45">
        <f t="shared" si="1"/>
        <v>0</v>
      </c>
      <c r="T34" s="6"/>
      <c r="U34" s="6"/>
      <c r="V34" s="6"/>
      <c r="W34" s="6"/>
    </row>
    <row r="35" spans="1:37" s="12" customFormat="1" ht="14.65" customHeight="1" x14ac:dyDescent="0.35">
      <c r="A35" s="103" t="s">
        <v>27</v>
      </c>
      <c r="B35" s="103"/>
      <c r="C35" s="65" t="s">
        <v>26</v>
      </c>
      <c r="D35" s="18" t="s">
        <v>16</v>
      </c>
      <c r="E35" s="13">
        <v>32</v>
      </c>
      <c r="F35" s="1"/>
      <c r="G35" s="1"/>
      <c r="H35" s="1"/>
      <c r="I35" s="1"/>
      <c r="J35" s="1"/>
      <c r="K35" s="43">
        <f t="shared" si="0"/>
        <v>0</v>
      </c>
      <c r="L35" s="1"/>
      <c r="M35" s="1"/>
      <c r="N35" s="1"/>
      <c r="O35" s="1"/>
      <c r="P35" s="43">
        <f t="shared" si="1"/>
        <v>0</v>
      </c>
      <c r="T35" s="6"/>
      <c r="U35" s="6"/>
      <c r="V35" s="6"/>
      <c r="W35" s="6"/>
    </row>
    <row r="36" spans="1:37" s="12" customFormat="1" ht="14.65" customHeight="1" x14ac:dyDescent="0.35">
      <c r="A36" s="104"/>
      <c r="B36" s="104"/>
      <c r="C36" s="66"/>
      <c r="D36" s="19" t="s">
        <v>17</v>
      </c>
      <c r="E36" s="14">
        <v>33</v>
      </c>
      <c r="F36" s="2"/>
      <c r="G36" s="2"/>
      <c r="H36" s="2"/>
      <c r="I36" s="2"/>
      <c r="J36" s="2"/>
      <c r="K36" s="44">
        <f t="shared" si="0"/>
        <v>0</v>
      </c>
      <c r="L36" s="2"/>
      <c r="M36" s="2"/>
      <c r="N36" s="2"/>
      <c r="O36" s="2"/>
      <c r="P36" s="44">
        <f t="shared" si="1"/>
        <v>0</v>
      </c>
      <c r="T36" s="6"/>
      <c r="U36" s="6"/>
      <c r="V36" s="6"/>
      <c r="W36" s="6"/>
    </row>
    <row r="37" spans="1:37" s="12" customFormat="1" ht="14.65" customHeight="1" x14ac:dyDescent="0.35">
      <c r="A37" s="105"/>
      <c r="B37" s="105"/>
      <c r="C37" s="89" t="s">
        <v>18</v>
      </c>
      <c r="D37" s="90"/>
      <c r="E37" s="15">
        <v>34</v>
      </c>
      <c r="F37" s="3"/>
      <c r="G37" s="3"/>
      <c r="H37" s="3"/>
      <c r="I37" s="3"/>
      <c r="J37" s="3"/>
      <c r="K37" s="45">
        <f t="shared" si="0"/>
        <v>0</v>
      </c>
      <c r="L37" s="3"/>
      <c r="M37" s="3"/>
      <c r="N37" s="3"/>
      <c r="O37" s="3"/>
      <c r="P37" s="45">
        <f t="shared" si="1"/>
        <v>0</v>
      </c>
      <c r="T37" s="6"/>
      <c r="U37" s="6"/>
      <c r="V37" s="6"/>
      <c r="W37" s="6"/>
    </row>
    <row r="38" spans="1:37" s="12" customFormat="1" ht="14.65" customHeight="1" x14ac:dyDescent="0.35">
      <c r="A38" s="106" t="s">
        <v>28</v>
      </c>
      <c r="B38" s="107"/>
      <c r="C38" s="107"/>
      <c r="D38" s="108"/>
      <c r="E38" s="11">
        <v>35</v>
      </c>
      <c r="F38" s="4"/>
      <c r="G38" s="4"/>
      <c r="H38" s="4"/>
      <c r="I38" s="4"/>
      <c r="J38" s="4"/>
      <c r="K38" s="46">
        <f t="shared" si="0"/>
        <v>0</v>
      </c>
      <c r="L38" s="4"/>
      <c r="M38" s="4"/>
      <c r="N38" s="4"/>
      <c r="O38" s="4"/>
      <c r="P38" s="46">
        <f t="shared" si="1"/>
        <v>0</v>
      </c>
      <c r="T38" s="6"/>
      <c r="U38" s="6"/>
      <c r="V38" s="6"/>
      <c r="W38" s="6"/>
    </row>
    <row r="39" spans="1:37" s="12" customFormat="1" ht="14.65" customHeight="1" x14ac:dyDescent="0.35">
      <c r="A39" s="109" t="s">
        <v>29</v>
      </c>
      <c r="B39" s="109"/>
      <c r="C39" s="109"/>
      <c r="D39" s="109"/>
      <c r="E39" s="110"/>
      <c r="F39" s="20" t="s">
        <v>30</v>
      </c>
      <c r="G39" s="20" t="s">
        <v>31</v>
      </c>
      <c r="H39" s="21"/>
      <c r="I39" s="22"/>
      <c r="J39" s="21"/>
      <c r="K39" s="21"/>
      <c r="L39" s="21"/>
      <c r="M39" s="23"/>
      <c r="N39" s="23"/>
      <c r="O39" s="23"/>
      <c r="P39" s="23"/>
      <c r="T39" s="6"/>
      <c r="U39" s="6"/>
      <c r="V39" s="6"/>
      <c r="W39" s="6"/>
    </row>
    <row r="40" spans="1:37" s="12" customFormat="1" ht="14.65" customHeight="1" x14ac:dyDescent="0.35">
      <c r="A40" s="99" t="s">
        <v>32</v>
      </c>
      <c r="B40" s="100"/>
      <c r="C40" s="100"/>
      <c r="D40" s="100"/>
      <c r="E40" s="26" t="s">
        <v>33</v>
      </c>
      <c r="F40" s="47">
        <f>F13+F14</f>
        <v>2271</v>
      </c>
      <c r="G40" s="48">
        <f>F40/F12%</f>
        <v>99.692712906057935</v>
      </c>
      <c r="H40" s="27"/>
      <c r="I40" s="22"/>
      <c r="J40" s="28"/>
      <c r="K40" s="27"/>
      <c r="L40" s="21"/>
      <c r="M40" s="29"/>
      <c r="N40" s="29"/>
      <c r="O40" s="29"/>
      <c r="P40" s="29"/>
      <c r="T40" s="6"/>
      <c r="U40" s="6"/>
      <c r="V40" s="6"/>
      <c r="W40" s="6"/>
    </row>
    <row r="41" spans="1:37" s="12" customFormat="1" ht="14.65" customHeight="1" x14ac:dyDescent="0.35">
      <c r="A41" s="24" t="s">
        <v>34</v>
      </c>
      <c r="B41" s="25"/>
      <c r="C41" s="25"/>
      <c r="D41" s="25"/>
      <c r="E41" s="26" t="s">
        <v>33</v>
      </c>
      <c r="F41" s="47">
        <f>L28+L29</f>
        <v>2064</v>
      </c>
      <c r="G41" s="48">
        <f>F41/L12%</f>
        <v>98.945349952061363</v>
      </c>
      <c r="H41" s="21"/>
      <c r="I41" s="30"/>
      <c r="J41" s="31"/>
      <c r="K41" s="21"/>
      <c r="L41" s="21"/>
      <c r="M41" s="29"/>
      <c r="N41" s="29"/>
      <c r="O41" s="29"/>
      <c r="P41" s="29"/>
      <c r="T41" s="6"/>
      <c r="U41" s="6"/>
      <c r="V41" s="6"/>
      <c r="W41" s="6"/>
    </row>
    <row r="42" spans="1:37" s="12" customFormat="1" ht="14.65" customHeight="1" x14ac:dyDescent="0.35">
      <c r="A42" s="24" t="s">
        <v>35</v>
      </c>
      <c r="B42" s="25"/>
      <c r="C42" s="25"/>
      <c r="D42" s="25"/>
      <c r="E42" s="26" t="s">
        <v>33</v>
      </c>
      <c r="F42" s="47">
        <f>L13+L14+L16+L17+L19+L20+L22+L23+L25+L26</f>
        <v>20</v>
      </c>
      <c r="G42" s="48">
        <f>F42/L12%</f>
        <v>0.95877277085330781</v>
      </c>
      <c r="H42" s="21"/>
      <c r="I42" s="22"/>
      <c r="J42" s="21"/>
      <c r="K42" s="21"/>
      <c r="L42" s="21"/>
      <c r="M42" s="23"/>
      <c r="N42" s="23"/>
      <c r="O42" s="23"/>
      <c r="P42" s="23"/>
      <c r="T42" s="6"/>
      <c r="U42" s="6"/>
      <c r="V42" s="6"/>
      <c r="W42" s="6"/>
    </row>
    <row r="43" spans="1:37" s="12" customFormat="1" ht="14.65" customHeight="1" x14ac:dyDescent="0.35">
      <c r="A43" s="99" t="s">
        <v>36</v>
      </c>
      <c r="B43" s="100"/>
      <c r="C43" s="100"/>
      <c r="D43" s="100"/>
      <c r="E43" s="26" t="s">
        <v>33</v>
      </c>
      <c r="F43" s="47">
        <f>P28+P29</f>
        <v>8779</v>
      </c>
      <c r="G43" s="48">
        <f>F43/P12%</f>
        <v>99.716038164470689</v>
      </c>
      <c r="H43" s="21"/>
      <c r="I43" s="22"/>
      <c r="J43" s="32"/>
      <c r="K43" s="32"/>
      <c r="L43" s="21"/>
      <c r="M43" s="21"/>
      <c r="N43" s="21"/>
      <c r="O43" s="21"/>
      <c r="P43" s="21"/>
      <c r="T43" s="6"/>
      <c r="U43" s="6"/>
      <c r="V43" s="6"/>
      <c r="W43" s="6"/>
    </row>
    <row r="44" spans="1:37" s="12" customFormat="1" ht="27.75" customHeight="1" x14ac:dyDescent="0.35">
      <c r="A44" s="101" t="s">
        <v>37</v>
      </c>
      <c r="B44" s="102"/>
      <c r="C44" s="102"/>
      <c r="D44" s="102"/>
      <c r="E44" s="26" t="s">
        <v>33</v>
      </c>
      <c r="F44" s="47">
        <f>K11+P11</f>
        <v>90</v>
      </c>
      <c r="G44" s="47">
        <f>F44/(K10+P10)%</f>
        <v>100</v>
      </c>
      <c r="H44" s="27"/>
      <c r="I44" s="22"/>
      <c r="J44" s="115" t="s">
        <v>45</v>
      </c>
      <c r="K44" s="115"/>
      <c r="L44" s="115"/>
      <c r="M44" s="115"/>
      <c r="N44" s="115"/>
      <c r="O44" s="115"/>
      <c r="P44" s="33"/>
      <c r="T44" s="6"/>
      <c r="U44" s="6"/>
      <c r="V44" s="6"/>
      <c r="W44" s="6"/>
    </row>
    <row r="45" spans="1:37" ht="14.5" customHeight="1" x14ac:dyDescent="0.35">
      <c r="A45" s="7"/>
      <c r="B45" s="7"/>
      <c r="C45" s="7"/>
      <c r="D45" s="34"/>
      <c r="E45" s="34"/>
      <c r="F45" s="34"/>
      <c r="G45" s="34"/>
      <c r="H45" s="34"/>
      <c r="I45" s="34"/>
      <c r="J45" s="111" t="s">
        <v>41</v>
      </c>
      <c r="K45" s="111"/>
      <c r="L45" s="111"/>
      <c r="M45" s="111"/>
      <c r="N45" s="111"/>
      <c r="O45" s="111"/>
      <c r="P45" s="7"/>
      <c r="Q45" s="7"/>
      <c r="R45" s="7"/>
      <c r="S45" s="7"/>
      <c r="T45" s="35"/>
      <c r="U45" s="35"/>
      <c r="V45" s="35"/>
      <c r="W45" s="35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</row>
    <row r="46" spans="1:37" ht="16.149999999999999" customHeight="1" x14ac:dyDescent="0.35">
      <c r="A46" s="7"/>
      <c r="B46" s="7"/>
      <c r="C46" s="7"/>
      <c r="D46" s="111" t="s">
        <v>40</v>
      </c>
      <c r="E46" s="111"/>
      <c r="F46" s="111"/>
      <c r="G46" s="36"/>
      <c r="H46" s="36"/>
      <c r="I46" s="36"/>
      <c r="J46" s="111" t="s">
        <v>42</v>
      </c>
      <c r="K46" s="111"/>
      <c r="L46" s="111"/>
      <c r="M46" s="111"/>
      <c r="N46" s="111"/>
      <c r="O46" s="111"/>
      <c r="P46" s="7"/>
      <c r="Q46" s="7"/>
      <c r="R46" s="7"/>
      <c r="S46" s="7"/>
      <c r="T46" s="35"/>
      <c r="U46" s="35"/>
      <c r="V46" s="35"/>
      <c r="W46" s="35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</row>
    <row r="47" spans="1:37" ht="14.5" customHeight="1" x14ac:dyDescent="0.35">
      <c r="A47" s="7"/>
      <c r="B47" s="7"/>
      <c r="C47" s="7"/>
      <c r="D47" s="37"/>
      <c r="E47" s="37"/>
      <c r="F47" s="37"/>
      <c r="G47" s="37"/>
      <c r="H47" s="37"/>
      <c r="I47" s="37"/>
      <c r="J47" s="116" t="s">
        <v>43</v>
      </c>
      <c r="K47" s="116"/>
      <c r="L47" s="116"/>
      <c r="M47" s="116"/>
      <c r="N47" s="116"/>
      <c r="O47" s="116"/>
      <c r="P47" s="7"/>
      <c r="Q47" s="7"/>
      <c r="R47" s="7"/>
      <c r="S47" s="7"/>
      <c r="T47" s="35"/>
      <c r="U47" s="35"/>
      <c r="V47" s="35"/>
      <c r="W47" s="35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</row>
    <row r="48" spans="1:37" ht="14.5" customHeight="1" x14ac:dyDescent="0.35">
      <c r="A48" s="7"/>
      <c r="B48" s="7"/>
      <c r="C48" s="7"/>
      <c r="D48" s="38"/>
      <c r="E48" s="38"/>
      <c r="F48" s="38"/>
      <c r="G48" s="38"/>
      <c r="H48" s="38"/>
      <c r="I48" s="39"/>
      <c r="J48" s="38"/>
      <c r="K48" s="38"/>
      <c r="L48" s="38"/>
      <c r="M48" s="38"/>
      <c r="N48" s="38"/>
      <c r="O48" s="39"/>
      <c r="P48" s="7"/>
      <c r="Q48" s="7"/>
      <c r="R48" s="7"/>
      <c r="S48" s="7"/>
      <c r="T48" s="35"/>
      <c r="U48" s="35"/>
      <c r="V48" s="35"/>
      <c r="W48" s="35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</row>
    <row r="49" spans="4:23" s="7" customFormat="1" ht="14.5" customHeight="1" x14ac:dyDescent="0.35">
      <c r="D49" s="38"/>
      <c r="E49" s="38"/>
      <c r="F49" s="38"/>
      <c r="G49" s="38"/>
      <c r="H49" s="38"/>
      <c r="I49" s="39"/>
      <c r="J49" s="38"/>
      <c r="K49" s="38"/>
      <c r="L49" s="38"/>
      <c r="M49" s="38"/>
      <c r="N49" s="38"/>
      <c r="O49" s="39"/>
      <c r="T49" s="35"/>
      <c r="U49" s="35"/>
      <c r="V49" s="35"/>
      <c r="W49" s="35"/>
    </row>
    <row r="50" spans="4:23" s="7" customFormat="1" ht="14.5" customHeight="1" x14ac:dyDescent="0.35">
      <c r="D50" s="38"/>
      <c r="E50" s="38"/>
      <c r="F50" s="38"/>
      <c r="G50" s="38"/>
      <c r="H50" s="38"/>
      <c r="I50" s="39"/>
      <c r="J50" s="38"/>
      <c r="K50" s="38"/>
      <c r="L50" s="38"/>
      <c r="M50" s="38"/>
      <c r="N50" s="38"/>
      <c r="O50" s="39"/>
      <c r="T50" s="35"/>
      <c r="U50" s="35"/>
      <c r="V50" s="35"/>
      <c r="W50" s="35"/>
    </row>
    <row r="51" spans="4:23" s="7" customFormat="1" ht="14.5" customHeight="1" x14ac:dyDescent="0.35">
      <c r="D51" s="36"/>
      <c r="E51" s="36"/>
      <c r="F51" s="36"/>
      <c r="G51" s="36"/>
      <c r="H51" s="36"/>
      <c r="I51" s="36"/>
      <c r="J51" s="40"/>
      <c r="K51" s="40"/>
      <c r="L51" s="40"/>
      <c r="M51" s="40"/>
      <c r="N51" s="40"/>
      <c r="O51" s="40"/>
      <c r="T51" s="35"/>
      <c r="U51" s="35"/>
      <c r="V51" s="35"/>
      <c r="W51" s="35"/>
    </row>
    <row r="52" spans="4:23" s="7" customFormat="1" ht="14.5" customHeight="1" x14ac:dyDescent="0.35">
      <c r="D52" s="111" t="s">
        <v>47</v>
      </c>
      <c r="E52" s="111"/>
      <c r="F52" s="111"/>
      <c r="G52" s="36"/>
      <c r="H52" s="36"/>
      <c r="I52" s="36"/>
      <c r="J52" s="111" t="s">
        <v>46</v>
      </c>
      <c r="K52" s="111"/>
      <c r="L52" s="111"/>
      <c r="M52" s="111"/>
      <c r="N52" s="111"/>
      <c r="O52" s="111"/>
      <c r="T52" s="35"/>
      <c r="U52" s="35"/>
      <c r="V52" s="35"/>
      <c r="W52" s="35"/>
    </row>
    <row r="53" spans="4:23" s="7" customFormat="1" ht="14.5" customHeight="1" x14ac:dyDescent="0.35">
      <c r="E53" s="35"/>
      <c r="T53" s="35"/>
      <c r="U53" s="35"/>
      <c r="V53" s="35"/>
      <c r="W53" s="35"/>
    </row>
    <row r="54" spans="4:23" s="7" customFormat="1" ht="14.5" customHeight="1" x14ac:dyDescent="0.35">
      <c r="E54" s="35"/>
      <c r="T54" s="35"/>
      <c r="U54" s="35"/>
      <c r="V54" s="35"/>
      <c r="W54" s="35"/>
    </row>
    <row r="55" spans="4:23" s="7" customFormat="1" ht="14.5" customHeight="1" x14ac:dyDescent="0.35">
      <c r="E55" s="35"/>
      <c r="T55" s="35"/>
      <c r="U55" s="35"/>
      <c r="V55" s="35"/>
      <c r="W55" s="35"/>
    </row>
    <row r="56" spans="4:23" s="7" customFormat="1" ht="14.5" customHeight="1" x14ac:dyDescent="0.35">
      <c r="E56" s="35"/>
      <c r="T56" s="35"/>
      <c r="U56" s="35"/>
      <c r="V56" s="35"/>
      <c r="W56" s="35"/>
    </row>
    <row r="57" spans="4:23" s="7" customFormat="1" ht="14.5" customHeight="1" x14ac:dyDescent="0.35">
      <c r="E57" s="35"/>
      <c r="T57" s="35"/>
      <c r="U57" s="35"/>
      <c r="V57" s="35"/>
      <c r="W57" s="35"/>
    </row>
    <row r="58" spans="4:23" s="7" customFormat="1" ht="14.5" customHeight="1" x14ac:dyDescent="0.35">
      <c r="E58" s="35"/>
      <c r="T58" s="35"/>
      <c r="U58" s="35"/>
      <c r="V58" s="35"/>
      <c r="W58" s="35"/>
    </row>
    <row r="59" spans="4:23" s="7" customFormat="1" ht="14.5" customHeight="1" x14ac:dyDescent="0.35">
      <c r="E59" s="35"/>
      <c r="T59" s="35"/>
      <c r="U59" s="35"/>
      <c r="V59" s="35"/>
      <c r="W59" s="35"/>
    </row>
    <row r="60" spans="4:23" s="7" customFormat="1" ht="14.5" customHeight="1" x14ac:dyDescent="0.35">
      <c r="E60" s="35"/>
      <c r="T60" s="35"/>
      <c r="U60" s="35"/>
      <c r="V60" s="35"/>
      <c r="W60" s="35"/>
    </row>
    <row r="61" spans="4:23" s="7" customFormat="1" ht="14.5" customHeight="1" x14ac:dyDescent="0.35">
      <c r="E61" s="35"/>
      <c r="T61" s="35"/>
      <c r="U61" s="35"/>
      <c r="V61" s="35"/>
      <c r="W61" s="35"/>
    </row>
    <row r="62" spans="4:23" s="7" customFormat="1" ht="14.5" customHeight="1" x14ac:dyDescent="0.35">
      <c r="E62" s="35"/>
      <c r="T62" s="35"/>
      <c r="U62" s="35"/>
      <c r="V62" s="35"/>
      <c r="W62" s="35"/>
    </row>
    <row r="63" spans="4:23" s="7" customFormat="1" ht="14.5" customHeight="1" x14ac:dyDescent="0.35">
      <c r="E63" s="35"/>
      <c r="T63" s="35"/>
      <c r="U63" s="35"/>
      <c r="V63" s="35"/>
      <c r="W63" s="35"/>
    </row>
    <row r="64" spans="4:23" s="7" customFormat="1" ht="14.5" customHeight="1" x14ac:dyDescent="0.35">
      <c r="E64" s="35"/>
      <c r="T64" s="35"/>
      <c r="U64" s="35"/>
      <c r="V64" s="35"/>
      <c r="W64" s="35"/>
    </row>
    <row r="65" spans="5:23" s="7" customFormat="1" ht="14.5" customHeight="1" x14ac:dyDescent="0.35">
      <c r="E65" s="35"/>
      <c r="T65" s="35"/>
      <c r="U65" s="35"/>
      <c r="V65" s="35"/>
      <c r="W65" s="35"/>
    </row>
    <row r="66" spans="5:23" s="7" customFormat="1" ht="14.5" customHeight="1" x14ac:dyDescent="0.35">
      <c r="E66" s="35"/>
      <c r="T66" s="35"/>
      <c r="U66" s="35"/>
      <c r="V66" s="35"/>
      <c r="W66" s="35"/>
    </row>
    <row r="67" spans="5:23" s="7" customFormat="1" ht="14.5" customHeight="1" x14ac:dyDescent="0.35">
      <c r="E67" s="35"/>
      <c r="T67" s="35"/>
      <c r="U67" s="35"/>
      <c r="V67" s="35"/>
      <c r="W67" s="35"/>
    </row>
    <row r="68" spans="5:23" s="7" customFormat="1" ht="14.5" customHeight="1" x14ac:dyDescent="0.35">
      <c r="E68" s="35"/>
      <c r="T68" s="35"/>
      <c r="U68" s="35"/>
      <c r="V68" s="35"/>
      <c r="W68" s="35"/>
    </row>
    <row r="69" spans="5:23" s="7" customFormat="1" ht="14.5" customHeight="1" x14ac:dyDescent="0.35">
      <c r="E69" s="35"/>
      <c r="T69" s="35"/>
      <c r="U69" s="35"/>
      <c r="V69" s="35"/>
      <c r="W69" s="35"/>
    </row>
    <row r="70" spans="5:23" s="7" customFormat="1" ht="14.5" customHeight="1" x14ac:dyDescent="0.35">
      <c r="E70" s="35"/>
      <c r="T70" s="35"/>
      <c r="U70" s="35"/>
      <c r="V70" s="35"/>
      <c r="W70" s="35"/>
    </row>
    <row r="71" spans="5:23" s="7" customFormat="1" ht="14.5" customHeight="1" x14ac:dyDescent="0.35">
      <c r="E71" s="35"/>
      <c r="T71" s="35"/>
      <c r="U71" s="35"/>
      <c r="V71" s="35"/>
      <c r="W71" s="35"/>
    </row>
    <row r="72" spans="5:23" s="7" customFormat="1" ht="14.5" customHeight="1" x14ac:dyDescent="0.35">
      <c r="E72" s="35"/>
      <c r="T72" s="35"/>
      <c r="U72" s="35"/>
      <c r="V72" s="35"/>
      <c r="W72" s="35"/>
    </row>
    <row r="73" spans="5:23" s="7" customFormat="1" ht="14.5" customHeight="1" x14ac:dyDescent="0.35">
      <c r="E73" s="35"/>
      <c r="T73" s="35"/>
      <c r="U73" s="35"/>
      <c r="V73" s="35"/>
      <c r="W73" s="35"/>
    </row>
    <row r="74" spans="5:23" s="7" customFormat="1" ht="14.5" customHeight="1" x14ac:dyDescent="0.35">
      <c r="E74" s="35"/>
      <c r="T74" s="35"/>
      <c r="U74" s="35"/>
      <c r="V74" s="35"/>
      <c r="W74" s="35"/>
    </row>
    <row r="75" spans="5:23" s="7" customFormat="1" ht="14.5" customHeight="1" x14ac:dyDescent="0.35">
      <c r="E75" s="35"/>
      <c r="T75" s="35"/>
      <c r="U75" s="35"/>
      <c r="V75" s="35"/>
      <c r="W75" s="35"/>
    </row>
    <row r="76" spans="5:23" s="7" customFormat="1" ht="14.5" customHeight="1" x14ac:dyDescent="0.35">
      <c r="E76" s="35"/>
      <c r="T76" s="35"/>
      <c r="U76" s="35"/>
      <c r="V76" s="35"/>
      <c r="W76" s="35"/>
    </row>
  </sheetData>
  <sheetProtection password="ED8D" sheet="1"/>
  <mergeCells count="57">
    <mergeCell ref="D52:F52"/>
    <mergeCell ref="B28:B31"/>
    <mergeCell ref="C28:C29"/>
    <mergeCell ref="C30:D30"/>
    <mergeCell ref="J52:O52"/>
    <mergeCell ref="J44:O44"/>
    <mergeCell ref="J45:O45"/>
    <mergeCell ref="D46:F46"/>
    <mergeCell ref="J47:O47"/>
    <mergeCell ref="J46:O46"/>
    <mergeCell ref="A43:D43"/>
    <mergeCell ref="A44:D44"/>
    <mergeCell ref="A35:B37"/>
    <mergeCell ref="C35:C36"/>
    <mergeCell ref="C37:D37"/>
    <mergeCell ref="A38:D38"/>
    <mergeCell ref="A39:E39"/>
    <mergeCell ref="A40:D40"/>
    <mergeCell ref="C31:D31"/>
    <mergeCell ref="A32:B34"/>
    <mergeCell ref="C32:C33"/>
    <mergeCell ref="C34:D34"/>
    <mergeCell ref="C21:D21"/>
    <mergeCell ref="B22:B24"/>
    <mergeCell ref="C27:D27"/>
    <mergeCell ref="B25:B27"/>
    <mergeCell ref="C25:C26"/>
    <mergeCell ref="A12:D12"/>
    <mergeCell ref="A13:A31"/>
    <mergeCell ref="B13:B15"/>
    <mergeCell ref="C13:C14"/>
    <mergeCell ref="C15:D15"/>
    <mergeCell ref="K4:K5"/>
    <mergeCell ref="A9:B11"/>
    <mergeCell ref="C9:D9"/>
    <mergeCell ref="C18:D18"/>
    <mergeCell ref="B19:B21"/>
    <mergeCell ref="P4:P5"/>
    <mergeCell ref="A5:D5"/>
    <mergeCell ref="A6:D6"/>
    <mergeCell ref="C22:C23"/>
    <mergeCell ref="C24:D24"/>
    <mergeCell ref="C10:D10"/>
    <mergeCell ref="C11:D11"/>
    <mergeCell ref="C19:C20"/>
    <mergeCell ref="A7:D7"/>
    <mergeCell ref="A8:D8"/>
    <mergeCell ref="A1:D1"/>
    <mergeCell ref="B16:B18"/>
    <mergeCell ref="C16:C17"/>
    <mergeCell ref="A4:D4"/>
    <mergeCell ref="E1:N1"/>
    <mergeCell ref="O1:P1"/>
    <mergeCell ref="A2:D2"/>
    <mergeCell ref="E2:N2"/>
    <mergeCell ref="A3:D3"/>
    <mergeCell ref="E3:N3"/>
  </mergeCells>
  <dataValidations count="1">
    <dataValidation type="decimal" operator="greaterThanOrEqual" allowBlank="1" showInputMessage="1" showErrorMessage="1" errorTitle="Nhập sai dữ liệu" error="Chỉ nhập giá trị số, hãy nhập lại!" promptTitle="Nhập dữ liệu" prompt="Chỉ nhập giá trị số" sqref="F65532:J65534 F6:P38" xr:uid="{DDF6C77C-7089-4D34-860F-D77BFD243A6D}">
      <formula1>0</formula1>
    </dataValidation>
  </dataValidations>
  <pageMargins left="0.25" right="0.25" top="0.75" bottom="0.25" header="0.3" footer="0.3"/>
  <pageSetup paperSize="9" orientation="portrait" verticalDpi="0" r:id="rId1"/>
  <ignoredErrors>
    <ignoredError sqref="P6:P38" unlockedFormula="1"/>
    <ignoredError sqref="K6:K38" formulaRange="1" unlockedFormula="1"/>
    <ignoredError sqref="G40:G44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Toàn xã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Nam Đậu Hồng</cp:lastModifiedBy>
  <cp:lastPrinted>2025-12-10T14:39:35Z</cp:lastPrinted>
  <dcterms:created xsi:type="dcterms:W3CDTF">2025-09-07T15:57:03Z</dcterms:created>
  <dcterms:modified xsi:type="dcterms:W3CDTF">2026-08-11T08:45:18Z</dcterms:modified>
</cp:coreProperties>
</file>