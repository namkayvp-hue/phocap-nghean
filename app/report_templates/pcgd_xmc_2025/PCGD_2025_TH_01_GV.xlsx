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Biểu mẫu\Biểu mẫu\Tiểu học\"/>
    </mc:Choice>
  </mc:AlternateContent>
  <xr:revisionPtr revIDLastSave="0" documentId="8_{77BD193A-D770-4C17-A3A5-34C98BD8D3F6}" xr6:coauthVersionLast="47" xr6:coauthVersionMax="47" xr10:uidLastSave="{00000000-0000-0000-0000-000000000000}"/>
  <bookViews>
    <workbookView xWindow="1860" yWindow="1860" windowWidth="16920" windowHeight="10450" xr2:uid="{525E859D-AA6D-465C-9AFF-8ACEE55D622D}"/>
  </bookViews>
  <sheets>
    <sheet name="Thống kê đội ngũ giáo viê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D18" i="1"/>
  <c r="E18" i="1"/>
  <c r="I10" i="1"/>
  <c r="I11" i="1"/>
  <c r="I12" i="1"/>
  <c r="I13" i="1"/>
  <c r="I9" i="1"/>
  <c r="I14" i="1"/>
  <c r="I15" i="1"/>
  <c r="I16" i="1"/>
  <c r="I17" i="1"/>
  <c r="I8" i="1"/>
  <c r="I18" i="1"/>
  <c r="G18" i="1"/>
  <c r="H18" i="1"/>
  <c r="J18" i="1"/>
  <c r="K18" i="1"/>
  <c r="L18" i="1"/>
  <c r="M18" i="1"/>
  <c r="O18" i="1"/>
  <c r="K21" i="1"/>
  <c r="P18" i="1"/>
  <c r="K22" i="1"/>
  <c r="Q18" i="1"/>
  <c r="R18" i="1"/>
  <c r="S18" i="1"/>
  <c r="T18" i="1"/>
  <c r="U18" i="1"/>
  <c r="V18" i="1"/>
  <c r="W18" i="1"/>
  <c r="X18" i="1"/>
  <c r="Y18" i="1"/>
  <c r="Z18" i="1"/>
  <c r="AA18" i="1"/>
  <c r="K23" i="1"/>
  <c r="AB18" i="1"/>
  <c r="AC18" i="1"/>
  <c r="AD18" i="1"/>
  <c r="AE18" i="1"/>
  <c r="AF18" i="1"/>
  <c r="AG18" i="1"/>
  <c r="F18" i="1"/>
</calcChain>
</file>

<file path=xl/sharedStrings.xml><?xml version="1.0" encoding="utf-8"?>
<sst xmlns="http://schemas.openxmlformats.org/spreadsheetml/2006/main" count="90" uniqueCount="71">
  <si>
    <t>THỐNG KÊ ĐỘI NGŨ GIÁO VIÊN PHỔ CẬP GIÁO DỤC TIỂU HỌC</t>
  </si>
  <si>
    <t>Mẫu: TH-01-GV</t>
  </si>
  <si>
    <t>TT</t>
  </si>
  <si>
    <t>Trường</t>
  </si>
  <si>
    <t>CBQL</t>
  </si>
  <si>
    <t>Giáo viên</t>
  </si>
  <si>
    <t>Nhân viên</t>
  </si>
  <si>
    <t>Tên</t>
  </si>
  <si>
    <t>Hạng trường</t>
  </si>
  <si>
    <t>1-2 buổi/ngày</t>
  </si>
  <si>
    <t>Hiệu trưởng</t>
  </si>
  <si>
    <t>P.Hiệu trưởng</t>
  </si>
  <si>
    <t>Tổng số</t>
  </si>
  <si>
    <t>Biên chế</t>
  </si>
  <si>
    <t>Hợp đồng</t>
  </si>
  <si>
    <t>Nữ</t>
  </si>
  <si>
    <t>Dân tộc</t>
  </si>
  <si>
    <t>Tỉ lệ GV/Lớp</t>
  </si>
  <si>
    <t>Trình độ đào tạo</t>
  </si>
  <si>
    <t>Loại hình đào tạo</t>
  </si>
  <si>
    <t>Chuẩn nghề nghiệp</t>
  </si>
  <si>
    <t>TPT.Đội</t>
  </si>
  <si>
    <t>Văn phòng</t>
  </si>
  <si>
    <t>T.Viện-TBDH</t>
  </si>
  <si>
    <t>Trên ĐH</t>
  </si>
  <si>
    <t>ĐH</t>
  </si>
  <si>
    <t>CĐ</t>
  </si>
  <si>
    <t>THSP</t>
  </si>
  <si>
    <t>Dưới THSP</t>
  </si>
  <si>
    <t>Tiểu học</t>
  </si>
  <si>
    <t>AN</t>
  </si>
  <si>
    <t>MT</t>
  </si>
  <si>
    <t>TD</t>
  </si>
  <si>
    <t>Tin
học</t>
  </si>
  <si>
    <t>NN</t>
  </si>
  <si>
    <t>Khác</t>
  </si>
  <si>
    <t>Xuất sắc</t>
  </si>
  <si>
    <t>Khá</t>
  </si>
  <si>
    <t>T.Bình</t>
  </si>
  <si>
    <t>Kém</t>
  </si>
  <si>
    <t>Tiêu chí</t>
  </si>
  <si>
    <t>SL</t>
  </si>
  <si>
    <t>Tỷ lệ</t>
  </si>
  <si>
    <t>GV đạt chuẩn trình độ đào tạo</t>
  </si>
  <si>
    <t>GV đạt trên chuẩn trình độ đào tạo</t>
  </si>
  <si>
    <t>NGƯỜI LẬP BIỂU</t>
  </si>
  <si>
    <t>GV đạt yêu cầu chuẩn nghề nghiệp</t>
  </si>
  <si>
    <t>Tỉnh: Nghệ An</t>
  </si>
  <si>
    <t>Tại thời điểm ngày 30 tháng 9 năm 2025</t>
  </si>
  <si>
    <t>Hạng 1</t>
  </si>
  <si>
    <t>Hạng 2</t>
  </si>
  <si>
    <t>Hạng 3</t>
  </si>
  <si>
    <t>Cộng xã:</t>
  </si>
  <si>
    <t>PHÓ CHỦ TỊCH</t>
  </si>
  <si>
    <t>XÁC NHẬN CỦA UBND XÃ/PHƯỜNG</t>
  </si>
  <si>
    <t>(Kí tên, đóng dấu)</t>
  </si>
  <si>
    <t>phường Thành Vinh</t>
  </si>
  <si>
    <t>TH Hưng Binh</t>
  </si>
  <si>
    <t>TH Đội Cung</t>
  </si>
  <si>
    <t>TH Cửa Nam 1</t>
  </si>
  <si>
    <t>TH Cửa Nam 2</t>
  </si>
  <si>
    <t>TH Đông Vĩnh</t>
  </si>
  <si>
    <t>TH Hưng Chính</t>
  </si>
  <si>
    <t>TH Lê Mao</t>
  </si>
  <si>
    <t>TH Quang Trung</t>
  </si>
  <si>
    <t>TH Lê Lợi</t>
  </si>
  <si>
    <t>PT Blue Sky</t>
  </si>
  <si>
    <t>x</t>
  </si>
  <si>
    <t>Thành Vinh , ngày      tháng       năm 2025</t>
  </si>
  <si>
    <t>Nguyễn Quang Vinh</t>
  </si>
  <si>
    <t>Nguyễn Thị Như Quỳnh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</si>
</sst>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-* #,##0.00\ &quot;₫&quot;_-;\-* #,##0.00\ &quot;₫&quot;_-;_-* &quot;-&quot;??\ &quot;₫&quot;_-;_-@_-"/>
    <numFmt numFmtId="173" formatCode="#,###"/>
  </numFmts>
  <fonts count="15" x14ac:knownFonts="1">
    <font>
      <sz val="10"/>
      <color indexed="8"/>
      <name val="Arial"/>
    </font>
    <font>
      <sz val="9"/>
      <color indexed="8"/>
      <name val="Arial"/>
    </font>
    <font>
      <sz val="8"/>
      <color indexed="8"/>
      <name val="Arial"/>
    </font>
    <font>
      <b/>
      <i/>
      <sz val="10"/>
      <color indexed="8"/>
      <name val="Arial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9"/>
      <color indexed="8"/>
      <name val="Arial"/>
      <family val="2"/>
    </font>
    <font>
      <b/>
      <i/>
      <sz val="10"/>
      <color indexed="8"/>
      <name val="Arial"/>
      <family val="2"/>
      <charset val="163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9"/>
      <color indexed="8"/>
      <name val="Arial"/>
      <family val="2"/>
    </font>
    <font>
      <b/>
      <sz val="10"/>
      <name val="Arial"/>
      <family val="2"/>
    </font>
    <font>
      <i/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55">
    <xf numFmtId="0" fontId="0" fillId="0" borderId="0" xfId="0" applyFill="1" applyProtection="1"/>
    <xf numFmtId="0" fontId="4" fillId="2" borderId="1" xfId="0" applyFont="1" applyFill="1" applyBorder="1" applyAlignment="1" applyProtection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0" fillId="0" borderId="0" xfId="0" applyFill="1" applyAlignment="1" applyProtection="1">
      <alignment horizontal="left" vertical="center"/>
      <protection locked="0"/>
    </xf>
    <xf numFmtId="0" fontId="0" fillId="0" borderId="2" xfId="0" applyFill="1" applyBorder="1" applyAlignment="1" applyProtection="1">
      <alignment vertical="center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 textRotation="90" wrapText="1"/>
      <protection locked="0"/>
    </xf>
    <xf numFmtId="0" fontId="0" fillId="0" borderId="0" xfId="0" applyFill="1" applyProtection="1">
      <protection locked="0"/>
    </xf>
    <xf numFmtId="0" fontId="12" fillId="0" borderId="1" xfId="0" applyFont="1" applyFill="1" applyBorder="1" applyAlignment="1" applyProtection="1">
      <alignment vertical="center" textRotation="90" wrapText="1"/>
      <protection locked="0"/>
    </xf>
    <xf numFmtId="0" fontId="12" fillId="0" borderId="1" xfId="0" applyFont="1" applyFill="1" applyBorder="1" applyAlignment="1" applyProtection="1">
      <alignment horizontal="center" vertical="center" textRotation="90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2" fontId="12" fillId="2" borderId="1" xfId="0" applyNumberFormat="1" applyFont="1" applyFill="1" applyBorder="1" applyProtection="1">
      <protection locked="0"/>
    </xf>
    <xf numFmtId="0" fontId="0" fillId="0" borderId="0" xfId="0" applyFill="1" applyAlignment="1" applyProtection="1">
      <protection locked="0"/>
    </xf>
    <xf numFmtId="0" fontId="4" fillId="0" borderId="0" xfId="0" applyFont="1" applyFill="1" applyProtection="1">
      <protection locked="0"/>
    </xf>
    <xf numFmtId="0" fontId="4" fillId="0" borderId="0" xfId="0" applyFont="1" applyFill="1" applyAlignment="1" applyProtection="1">
      <protection locked="0"/>
    </xf>
    <xf numFmtId="0" fontId="8" fillId="0" borderId="0" xfId="0" applyFont="1" applyFill="1" applyProtection="1">
      <protection locked="0"/>
    </xf>
    <xf numFmtId="0" fontId="8" fillId="0" borderId="0" xfId="0" applyFont="1" applyFill="1" applyAlignment="1" applyProtection="1">
      <alignment vertical="center"/>
      <protection locked="0"/>
    </xf>
    <xf numFmtId="170" fontId="9" fillId="0" borderId="0" xfId="0" applyNumberFormat="1" applyFont="1" applyFill="1" applyAlignment="1" applyProtection="1">
      <alignment vertical="center"/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170" fontId="10" fillId="0" borderId="0" xfId="0" applyNumberFormat="1" applyFont="1" applyFill="1" applyAlignment="1" applyProtection="1">
      <alignment vertical="center"/>
      <protection locked="0"/>
    </xf>
    <xf numFmtId="0" fontId="11" fillId="0" borderId="0" xfId="0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0" fontId="0" fillId="0" borderId="3" xfId="0" applyFont="1" applyFill="1" applyBorder="1" applyAlignment="1" applyProtection="1">
      <alignment horizontal="left" vertical="center" shrinkToFit="1"/>
      <protection locked="0"/>
    </xf>
    <xf numFmtId="173" fontId="0" fillId="0" borderId="4" xfId="0" applyNumberFormat="1" applyFont="1" applyFill="1" applyBorder="1" applyAlignment="1" applyProtection="1">
      <alignment horizontal="center" vertical="center" shrinkToFit="1"/>
      <protection locked="0"/>
    </xf>
    <xf numFmtId="173" fontId="0" fillId="0" borderId="5" xfId="0" applyNumberFormat="1" applyFont="1" applyFill="1" applyBorder="1" applyAlignment="1" applyProtection="1">
      <alignment horizontal="center" vertical="center" shrinkToFit="1"/>
      <protection locked="0"/>
    </xf>
    <xf numFmtId="173" fontId="0" fillId="0" borderId="6" xfId="0" applyNumberFormat="1" applyFont="1" applyFill="1" applyBorder="1" applyAlignment="1" applyProtection="1">
      <alignment horizontal="center" vertical="center" shrinkToFit="1"/>
      <protection locked="0"/>
    </xf>
    <xf numFmtId="4" fontId="0" fillId="0" borderId="5" xfId="0" applyNumberFormat="1" applyFont="1" applyFill="1" applyBorder="1" applyAlignment="1" applyProtection="1">
      <alignment horizontal="center" vertical="center" shrinkToFit="1"/>
      <protection locked="0"/>
    </xf>
    <xf numFmtId="173" fontId="0" fillId="0" borderId="7" xfId="0" applyNumberFormat="1" applyFont="1" applyFill="1" applyBorder="1" applyAlignment="1" applyProtection="1">
      <alignment horizontal="center" vertical="center" shrinkToFit="1"/>
      <protection locked="0"/>
    </xf>
    <xf numFmtId="173" fontId="0" fillId="0" borderId="8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Alignment="1" applyProtection="1">
      <alignment horizontal="center" vertical="center"/>
      <protection locked="0"/>
    </xf>
    <xf numFmtId="170" fontId="11" fillId="0" borderId="0" xfId="0" applyNumberFormat="1" applyFont="1" applyFill="1" applyAlignment="1" applyProtection="1">
      <alignment horizontal="center" vertical="center"/>
      <protection locked="0"/>
    </xf>
    <xf numFmtId="0" fontId="14" fillId="0" borderId="0" xfId="0" applyFont="1" applyFill="1" applyAlignment="1" applyProtection="1">
      <alignment horizont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0" fillId="0" borderId="1" xfId="0" applyFill="1" applyBorder="1" applyProtection="1">
      <protection locked="0"/>
    </xf>
    <xf numFmtId="0" fontId="1" fillId="0" borderId="1" xfId="0" applyFont="1" applyFill="1" applyBorder="1" applyAlignment="1" applyProtection="1">
      <alignment horizontal="center" vertical="center" textRotation="90" wrapText="1"/>
      <protection locked="0"/>
    </xf>
    <xf numFmtId="0" fontId="13" fillId="0" borderId="0" xfId="0" applyFont="1" applyFill="1" applyAlignment="1" applyProtection="1">
      <alignment horizontal="left" vertical="center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9" xfId="0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Fill="1" applyBorder="1" applyAlignment="1" applyProtection="1">
      <alignment horizontal="center" vertical="center" wrapText="1"/>
      <protection locked="0"/>
    </xf>
    <xf numFmtId="0" fontId="1" fillId="0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horizontal="left" vertical="center"/>
      <protection locked="0"/>
    </xf>
    <xf numFmtId="0" fontId="7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D533-8864-4CB8-B38B-EADE852003B7}">
  <dimension ref="A1:AG42"/>
  <sheetViews>
    <sheetView tabSelected="1" topLeftCell="A13" workbookViewId="0">
      <selection activeCell="N33" sqref="N33"/>
    </sheetView>
  </sheetViews>
  <sheetFormatPr defaultColWidth="8.81640625" defaultRowHeight="15" customHeight="1" x14ac:dyDescent="0.25"/>
  <cols>
    <col min="1" max="1" width="3" style="10" customWidth="1"/>
    <col min="2" max="2" width="23.54296875" style="10" customWidth="1"/>
    <col min="3" max="8" width="3.26953125" style="10" customWidth="1"/>
    <col min="9" max="11" width="4.453125" style="10" customWidth="1"/>
    <col min="12" max="12" width="6.26953125" style="10" customWidth="1"/>
    <col min="13" max="33" width="4.453125" style="10" customWidth="1"/>
    <col min="34" max="16384" width="8.81640625" style="10"/>
  </cols>
  <sheetData>
    <row r="1" spans="1:33" s="3" customFormat="1" ht="20.149999999999999" customHeight="1" x14ac:dyDescent="0.25">
      <c r="A1" s="44" t="s">
        <v>47</v>
      </c>
      <c r="B1" s="44"/>
      <c r="C1" s="54" t="s">
        <v>0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2" t="s">
        <v>1</v>
      </c>
      <c r="AF1" s="52"/>
      <c r="AG1" s="52"/>
    </row>
    <row r="2" spans="1:33" s="3" customFormat="1" ht="20.149999999999999" customHeight="1" x14ac:dyDescent="0.25">
      <c r="A2" s="44" t="s">
        <v>56</v>
      </c>
      <c r="B2" s="44"/>
      <c r="C2" s="50" t="s">
        <v>48</v>
      </c>
      <c r="D2" s="50"/>
      <c r="E2" s="50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4"/>
      <c r="AF2" s="4"/>
      <c r="AG2" s="4"/>
    </row>
    <row r="3" spans="1:33" s="3" customFormat="1" ht="4.1500000000000004" customHeight="1" x14ac:dyDescent="0.25">
      <c r="A3" s="49"/>
      <c r="B3" s="49"/>
      <c r="C3" s="5"/>
      <c r="D3" s="5"/>
      <c r="E3" s="5"/>
      <c r="F3" s="5"/>
      <c r="G3" s="6"/>
      <c r="H3" s="6"/>
      <c r="I3" s="6"/>
      <c r="J3" s="6"/>
    </row>
    <row r="4" spans="1:33" s="3" customFormat="1" ht="18" customHeight="1" x14ac:dyDescent="0.25">
      <c r="A4" s="45" t="s">
        <v>2</v>
      </c>
      <c r="B4" s="40" t="s">
        <v>3</v>
      </c>
      <c r="C4" s="40"/>
      <c r="D4" s="40"/>
      <c r="E4" s="40"/>
      <c r="F4" s="40"/>
      <c r="G4" s="53" t="s">
        <v>4</v>
      </c>
      <c r="H4" s="53"/>
      <c r="I4" s="40" t="s">
        <v>5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53" t="s">
        <v>6</v>
      </c>
      <c r="AG4" s="53"/>
    </row>
    <row r="5" spans="1:33" ht="22.15" customHeight="1" x14ac:dyDescent="0.25">
      <c r="A5" s="45"/>
      <c r="B5" s="45" t="s">
        <v>7</v>
      </c>
      <c r="C5" s="46" t="s">
        <v>8</v>
      </c>
      <c r="D5" s="47"/>
      <c r="E5" s="48"/>
      <c r="F5" s="43" t="s">
        <v>9</v>
      </c>
      <c r="G5" s="43" t="s">
        <v>10</v>
      </c>
      <c r="H5" s="43" t="s">
        <v>11</v>
      </c>
      <c r="I5" s="43" t="s">
        <v>12</v>
      </c>
      <c r="J5" s="43" t="s">
        <v>13</v>
      </c>
      <c r="K5" s="43" t="s">
        <v>14</v>
      </c>
      <c r="L5" s="43" t="s">
        <v>15</v>
      </c>
      <c r="M5" s="43" t="s">
        <v>16</v>
      </c>
      <c r="N5" s="43" t="s">
        <v>17</v>
      </c>
      <c r="O5" s="45" t="s">
        <v>18</v>
      </c>
      <c r="P5" s="45"/>
      <c r="Q5" s="45"/>
      <c r="R5" s="45"/>
      <c r="S5" s="45"/>
      <c r="T5" s="45" t="s">
        <v>19</v>
      </c>
      <c r="U5" s="45"/>
      <c r="V5" s="45"/>
      <c r="W5" s="45"/>
      <c r="X5" s="45"/>
      <c r="Y5" s="45"/>
      <c r="Z5" s="45"/>
      <c r="AA5" s="45" t="s">
        <v>20</v>
      </c>
      <c r="AB5" s="45"/>
      <c r="AC5" s="45"/>
      <c r="AD5" s="45"/>
      <c r="AE5" s="43" t="s">
        <v>21</v>
      </c>
      <c r="AF5" s="43" t="s">
        <v>22</v>
      </c>
      <c r="AG5" s="43" t="s">
        <v>23</v>
      </c>
    </row>
    <row r="6" spans="1:33" ht="45" customHeight="1" x14ac:dyDescent="0.25">
      <c r="A6" s="45"/>
      <c r="B6" s="45"/>
      <c r="C6" s="11" t="s">
        <v>49</v>
      </c>
      <c r="D6" s="12" t="s">
        <v>50</v>
      </c>
      <c r="E6" s="12" t="s">
        <v>51</v>
      </c>
      <c r="F6" s="43"/>
      <c r="G6" s="43"/>
      <c r="H6" s="43"/>
      <c r="I6" s="43"/>
      <c r="J6" s="43"/>
      <c r="K6" s="43"/>
      <c r="L6" s="43"/>
      <c r="M6" s="43"/>
      <c r="N6" s="43"/>
      <c r="O6" s="7" t="s">
        <v>24</v>
      </c>
      <c r="P6" s="7" t="s">
        <v>25</v>
      </c>
      <c r="Q6" s="7" t="s">
        <v>26</v>
      </c>
      <c r="R6" s="13" t="s">
        <v>27</v>
      </c>
      <c r="S6" s="13" t="s">
        <v>28</v>
      </c>
      <c r="T6" s="9" t="s">
        <v>29</v>
      </c>
      <c r="U6" s="7" t="s">
        <v>30</v>
      </c>
      <c r="V6" s="7" t="s">
        <v>31</v>
      </c>
      <c r="W6" s="7" t="s">
        <v>32</v>
      </c>
      <c r="X6" s="7" t="s">
        <v>33</v>
      </c>
      <c r="Y6" s="7" t="s">
        <v>34</v>
      </c>
      <c r="Z6" s="9" t="s">
        <v>35</v>
      </c>
      <c r="AA6" s="9" t="s">
        <v>36</v>
      </c>
      <c r="AB6" s="9" t="s">
        <v>37</v>
      </c>
      <c r="AC6" s="9" t="s">
        <v>38</v>
      </c>
      <c r="AD6" s="9" t="s">
        <v>39</v>
      </c>
      <c r="AE6" s="43"/>
      <c r="AF6" s="43"/>
      <c r="AG6" s="43"/>
    </row>
    <row r="7" spans="1:33" ht="21.75" customHeight="1" x14ac:dyDescent="0.25">
      <c r="A7" s="13">
        <v>1</v>
      </c>
      <c r="B7" s="13">
        <v>2</v>
      </c>
      <c r="C7" s="13">
        <v>3</v>
      </c>
      <c r="D7" s="13">
        <v>4</v>
      </c>
      <c r="E7" s="13">
        <v>5</v>
      </c>
      <c r="F7" s="13">
        <v>6</v>
      </c>
      <c r="G7" s="13">
        <v>7</v>
      </c>
      <c r="H7" s="13">
        <v>8</v>
      </c>
      <c r="I7" s="13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  <c r="O7" s="13">
        <v>15</v>
      </c>
      <c r="P7" s="13">
        <v>16</v>
      </c>
      <c r="Q7" s="13">
        <v>17</v>
      </c>
      <c r="R7" s="13">
        <v>18</v>
      </c>
      <c r="S7" s="13">
        <v>19</v>
      </c>
      <c r="T7" s="13">
        <v>20</v>
      </c>
      <c r="U7" s="13">
        <v>21</v>
      </c>
      <c r="V7" s="13">
        <v>22</v>
      </c>
      <c r="W7" s="13">
        <v>23</v>
      </c>
      <c r="X7" s="13">
        <v>24</v>
      </c>
      <c r="Y7" s="13">
        <v>25</v>
      </c>
      <c r="Z7" s="13">
        <v>26</v>
      </c>
      <c r="AA7" s="13">
        <v>27</v>
      </c>
      <c r="AB7" s="13">
        <v>28</v>
      </c>
      <c r="AC7" s="13">
        <v>29</v>
      </c>
      <c r="AD7" s="13">
        <v>30</v>
      </c>
      <c r="AE7" s="13">
        <v>31</v>
      </c>
      <c r="AF7" s="13">
        <v>32</v>
      </c>
      <c r="AG7" s="13">
        <v>33</v>
      </c>
    </row>
    <row r="8" spans="1:33" ht="21.75" customHeight="1" x14ac:dyDescent="0.25">
      <c r="A8" s="14">
        <v>1</v>
      </c>
      <c r="B8" s="29" t="s">
        <v>57</v>
      </c>
      <c r="C8" s="15" t="s">
        <v>67</v>
      </c>
      <c r="D8" s="15"/>
      <c r="E8" s="15"/>
      <c r="F8" s="15" t="s">
        <v>67</v>
      </c>
      <c r="G8" s="30">
        <v>1</v>
      </c>
      <c r="H8" s="31">
        <v>2</v>
      </c>
      <c r="I8" s="2">
        <f t="shared" ref="I8:I17" si="0">SUM(J8:K8)</f>
        <v>68</v>
      </c>
      <c r="J8" s="32">
        <v>64</v>
      </c>
      <c r="K8" s="32">
        <v>4</v>
      </c>
      <c r="L8" s="32">
        <v>67</v>
      </c>
      <c r="M8" s="32">
        <v>0</v>
      </c>
      <c r="N8" s="33">
        <v>1.51</v>
      </c>
      <c r="O8" s="30">
        <v>6</v>
      </c>
      <c r="P8" s="32">
        <v>62</v>
      </c>
      <c r="Q8" s="32">
        <v>0</v>
      </c>
      <c r="R8" s="32">
        <v>0</v>
      </c>
      <c r="S8" s="34">
        <v>0</v>
      </c>
      <c r="T8" s="30">
        <v>55</v>
      </c>
      <c r="U8" s="32">
        <v>2</v>
      </c>
      <c r="V8" s="32">
        <v>1</v>
      </c>
      <c r="W8" s="32">
        <v>2</v>
      </c>
      <c r="X8" s="32">
        <v>2</v>
      </c>
      <c r="Y8" s="31">
        <v>6</v>
      </c>
      <c r="Z8" s="15"/>
      <c r="AA8" s="32">
        <v>64</v>
      </c>
      <c r="AB8" s="32">
        <v>4</v>
      </c>
      <c r="AC8" s="15"/>
      <c r="AD8" s="15"/>
      <c r="AE8" s="35">
        <v>1</v>
      </c>
      <c r="AF8" s="30">
        <v>3</v>
      </c>
      <c r="AG8" s="31">
        <v>0</v>
      </c>
    </row>
    <row r="9" spans="1:33" ht="21.75" customHeight="1" x14ac:dyDescent="0.25">
      <c r="A9" s="14">
        <v>2</v>
      </c>
      <c r="B9" s="29" t="s">
        <v>58</v>
      </c>
      <c r="C9" s="15"/>
      <c r="D9" s="15" t="s">
        <v>67</v>
      </c>
      <c r="E9" s="15"/>
      <c r="F9" s="15" t="s">
        <v>67</v>
      </c>
      <c r="G9" s="30">
        <v>1</v>
      </c>
      <c r="H9" s="31">
        <v>1</v>
      </c>
      <c r="I9" s="2">
        <f t="shared" si="0"/>
        <v>38</v>
      </c>
      <c r="J9" s="32">
        <v>35</v>
      </c>
      <c r="K9" s="32">
        <v>3</v>
      </c>
      <c r="L9" s="32">
        <v>36</v>
      </c>
      <c r="M9" s="32">
        <v>1</v>
      </c>
      <c r="N9" s="33">
        <v>1.52</v>
      </c>
      <c r="O9" s="30">
        <v>1</v>
      </c>
      <c r="P9" s="32">
        <v>37</v>
      </c>
      <c r="Q9" s="32">
        <v>0</v>
      </c>
      <c r="R9" s="32">
        <v>0</v>
      </c>
      <c r="S9" s="34">
        <v>0</v>
      </c>
      <c r="T9" s="30">
        <v>28</v>
      </c>
      <c r="U9" s="32">
        <v>2</v>
      </c>
      <c r="V9" s="32">
        <v>1</v>
      </c>
      <c r="W9" s="32">
        <v>1</v>
      </c>
      <c r="X9" s="32">
        <v>1</v>
      </c>
      <c r="Y9" s="31">
        <v>5</v>
      </c>
      <c r="Z9" s="15"/>
      <c r="AA9" s="32">
        <v>35</v>
      </c>
      <c r="AB9" s="32">
        <v>3</v>
      </c>
      <c r="AC9" s="15"/>
      <c r="AD9" s="15"/>
      <c r="AE9" s="35">
        <v>1</v>
      </c>
      <c r="AF9" s="30">
        <v>2</v>
      </c>
      <c r="AG9" s="31">
        <v>1</v>
      </c>
    </row>
    <row r="10" spans="1:33" ht="21.75" customHeight="1" x14ac:dyDescent="0.25">
      <c r="A10" s="14">
        <v>3</v>
      </c>
      <c r="B10" s="29" t="s">
        <v>59</v>
      </c>
      <c r="C10" s="15"/>
      <c r="D10" s="15" t="s">
        <v>67</v>
      </c>
      <c r="E10" s="15"/>
      <c r="F10" s="15" t="s">
        <v>67</v>
      </c>
      <c r="G10" s="30">
        <v>1</v>
      </c>
      <c r="H10" s="31">
        <v>1</v>
      </c>
      <c r="I10" s="2">
        <f t="shared" si="0"/>
        <v>35</v>
      </c>
      <c r="J10" s="32">
        <v>31</v>
      </c>
      <c r="K10" s="32">
        <v>4</v>
      </c>
      <c r="L10" s="32">
        <v>33</v>
      </c>
      <c r="M10" s="32">
        <v>0</v>
      </c>
      <c r="N10" s="33">
        <v>1.52</v>
      </c>
      <c r="O10" s="30">
        <v>5</v>
      </c>
      <c r="P10" s="32">
        <v>30</v>
      </c>
      <c r="Q10" s="32">
        <v>0</v>
      </c>
      <c r="R10" s="32">
        <v>0</v>
      </c>
      <c r="S10" s="34">
        <v>0</v>
      </c>
      <c r="T10" s="30">
        <v>28</v>
      </c>
      <c r="U10" s="32">
        <v>1</v>
      </c>
      <c r="V10" s="32">
        <v>1</v>
      </c>
      <c r="W10" s="32">
        <v>1</v>
      </c>
      <c r="X10" s="32">
        <v>1</v>
      </c>
      <c r="Y10" s="31">
        <v>3</v>
      </c>
      <c r="Z10" s="15"/>
      <c r="AA10" s="32">
        <v>31</v>
      </c>
      <c r="AB10" s="32">
        <v>4</v>
      </c>
      <c r="AC10" s="15"/>
      <c r="AD10" s="15"/>
      <c r="AE10" s="35">
        <v>1</v>
      </c>
      <c r="AF10" s="30">
        <v>2</v>
      </c>
      <c r="AG10" s="31">
        <v>1</v>
      </c>
    </row>
    <row r="11" spans="1:33" ht="21.75" customHeight="1" x14ac:dyDescent="0.25">
      <c r="A11" s="14">
        <v>4</v>
      </c>
      <c r="B11" s="29" t="s">
        <v>60</v>
      </c>
      <c r="C11" s="15"/>
      <c r="D11" s="15" t="s">
        <v>67</v>
      </c>
      <c r="E11" s="15"/>
      <c r="F11" s="15" t="s">
        <v>67</v>
      </c>
      <c r="G11" s="30">
        <v>1</v>
      </c>
      <c r="H11" s="31">
        <v>1</v>
      </c>
      <c r="I11" s="2">
        <f t="shared" si="0"/>
        <v>28</v>
      </c>
      <c r="J11" s="32">
        <v>26</v>
      </c>
      <c r="K11" s="32">
        <v>2</v>
      </c>
      <c r="L11" s="32">
        <v>27</v>
      </c>
      <c r="M11" s="32">
        <v>2</v>
      </c>
      <c r="N11" s="33">
        <v>1.47</v>
      </c>
      <c r="O11" s="30">
        <v>1</v>
      </c>
      <c r="P11" s="32">
        <v>27</v>
      </c>
      <c r="Q11" s="32">
        <v>0</v>
      </c>
      <c r="R11" s="32">
        <v>0</v>
      </c>
      <c r="S11" s="34">
        <v>0</v>
      </c>
      <c r="T11" s="30">
        <v>21</v>
      </c>
      <c r="U11" s="32">
        <v>1</v>
      </c>
      <c r="V11" s="32">
        <v>1</v>
      </c>
      <c r="W11" s="32">
        <v>2</v>
      </c>
      <c r="X11" s="32">
        <v>1</v>
      </c>
      <c r="Y11" s="31">
        <v>3</v>
      </c>
      <c r="Z11" s="15"/>
      <c r="AA11" s="32">
        <v>26</v>
      </c>
      <c r="AB11" s="32">
        <v>2</v>
      </c>
      <c r="AC11" s="15"/>
      <c r="AD11" s="15"/>
      <c r="AE11" s="35">
        <v>1</v>
      </c>
      <c r="AF11" s="30">
        <v>2</v>
      </c>
      <c r="AG11" s="31">
        <v>1</v>
      </c>
    </row>
    <row r="12" spans="1:33" ht="21.75" customHeight="1" x14ac:dyDescent="0.25">
      <c r="A12" s="14">
        <v>5</v>
      </c>
      <c r="B12" s="29" t="s">
        <v>61</v>
      </c>
      <c r="C12" s="15"/>
      <c r="D12" s="15" t="s">
        <v>67</v>
      </c>
      <c r="E12" s="15"/>
      <c r="F12" s="15" t="s">
        <v>67</v>
      </c>
      <c r="G12" s="30">
        <v>1</v>
      </c>
      <c r="H12" s="31">
        <v>1</v>
      </c>
      <c r="I12" s="2">
        <f t="shared" si="0"/>
        <v>41</v>
      </c>
      <c r="J12" s="32">
        <v>35</v>
      </c>
      <c r="K12" s="32">
        <v>6</v>
      </c>
      <c r="L12" s="32">
        <v>39</v>
      </c>
      <c r="M12" s="32">
        <v>0</v>
      </c>
      <c r="N12" s="33">
        <v>1.58</v>
      </c>
      <c r="O12" s="30">
        <v>4</v>
      </c>
      <c r="P12" s="32">
        <v>37</v>
      </c>
      <c r="Q12" s="32">
        <v>0</v>
      </c>
      <c r="R12" s="32">
        <v>0</v>
      </c>
      <c r="S12" s="34">
        <v>0</v>
      </c>
      <c r="T12" s="30">
        <v>33</v>
      </c>
      <c r="U12" s="32">
        <v>1</v>
      </c>
      <c r="V12" s="32">
        <v>1</v>
      </c>
      <c r="W12" s="32">
        <v>1</v>
      </c>
      <c r="X12" s="32">
        <v>1</v>
      </c>
      <c r="Y12" s="31">
        <v>4</v>
      </c>
      <c r="Z12" s="15"/>
      <c r="AA12" s="32">
        <v>35</v>
      </c>
      <c r="AB12" s="32">
        <v>6</v>
      </c>
      <c r="AC12" s="15"/>
      <c r="AD12" s="15"/>
      <c r="AE12" s="35">
        <v>1</v>
      </c>
      <c r="AF12" s="30">
        <v>2</v>
      </c>
      <c r="AG12" s="31">
        <v>0</v>
      </c>
    </row>
    <row r="13" spans="1:33" ht="21.75" customHeight="1" x14ac:dyDescent="0.25">
      <c r="A13" s="14">
        <v>6</v>
      </c>
      <c r="B13" s="29" t="s">
        <v>62</v>
      </c>
      <c r="C13" s="15"/>
      <c r="D13" s="15" t="s">
        <v>67</v>
      </c>
      <c r="E13" s="15"/>
      <c r="F13" s="15" t="s">
        <v>67</v>
      </c>
      <c r="G13" s="30">
        <v>1</v>
      </c>
      <c r="H13" s="31">
        <v>1</v>
      </c>
      <c r="I13" s="2">
        <f t="shared" si="0"/>
        <v>31</v>
      </c>
      <c r="J13" s="32">
        <v>30</v>
      </c>
      <c r="K13" s="32">
        <v>1</v>
      </c>
      <c r="L13" s="32">
        <v>29</v>
      </c>
      <c r="M13" s="32">
        <v>0</v>
      </c>
      <c r="N13" s="33">
        <v>1.48</v>
      </c>
      <c r="O13" s="30">
        <v>0</v>
      </c>
      <c r="P13" s="32">
        <v>31</v>
      </c>
      <c r="Q13" s="32">
        <v>0</v>
      </c>
      <c r="R13" s="32">
        <v>0</v>
      </c>
      <c r="S13" s="34">
        <v>0</v>
      </c>
      <c r="T13" s="30">
        <v>24</v>
      </c>
      <c r="U13" s="32">
        <v>1</v>
      </c>
      <c r="V13" s="32">
        <v>1</v>
      </c>
      <c r="W13" s="32">
        <v>1</v>
      </c>
      <c r="X13" s="32">
        <v>1</v>
      </c>
      <c r="Y13" s="31">
        <v>3</v>
      </c>
      <c r="Z13" s="15"/>
      <c r="AA13" s="32">
        <v>30</v>
      </c>
      <c r="AB13" s="32">
        <v>1</v>
      </c>
      <c r="AC13" s="15"/>
      <c r="AD13" s="15"/>
      <c r="AE13" s="35">
        <v>1</v>
      </c>
      <c r="AF13" s="30">
        <v>2</v>
      </c>
      <c r="AG13" s="31">
        <v>0</v>
      </c>
    </row>
    <row r="14" spans="1:33" ht="21.75" customHeight="1" x14ac:dyDescent="0.25">
      <c r="A14" s="14">
        <v>7</v>
      </c>
      <c r="B14" s="29" t="s">
        <v>63</v>
      </c>
      <c r="C14" s="15" t="s">
        <v>67</v>
      </c>
      <c r="D14" s="15"/>
      <c r="E14" s="15"/>
      <c r="F14" s="15" t="s">
        <v>67</v>
      </c>
      <c r="G14" s="30">
        <v>1</v>
      </c>
      <c r="H14" s="31">
        <v>2</v>
      </c>
      <c r="I14" s="2">
        <f t="shared" si="0"/>
        <v>52</v>
      </c>
      <c r="J14" s="32">
        <v>52</v>
      </c>
      <c r="K14" s="32">
        <v>0</v>
      </c>
      <c r="L14" s="32">
        <v>48</v>
      </c>
      <c r="M14" s="32">
        <v>1</v>
      </c>
      <c r="N14" s="33">
        <v>1.53</v>
      </c>
      <c r="O14" s="30">
        <v>10</v>
      </c>
      <c r="P14" s="32">
        <v>42</v>
      </c>
      <c r="Q14" s="32">
        <v>0</v>
      </c>
      <c r="R14" s="32">
        <v>0</v>
      </c>
      <c r="S14" s="34">
        <v>0</v>
      </c>
      <c r="T14" s="30">
        <v>43</v>
      </c>
      <c r="U14" s="32">
        <v>1</v>
      </c>
      <c r="V14" s="32">
        <v>1</v>
      </c>
      <c r="W14" s="32">
        <v>2</v>
      </c>
      <c r="X14" s="32">
        <v>1</v>
      </c>
      <c r="Y14" s="31">
        <v>4</v>
      </c>
      <c r="Z14" s="15"/>
      <c r="AA14" s="32">
        <v>52</v>
      </c>
      <c r="AB14" s="32">
        <v>0</v>
      </c>
      <c r="AC14" s="15"/>
      <c r="AD14" s="15"/>
      <c r="AE14" s="35">
        <v>1</v>
      </c>
      <c r="AF14" s="30">
        <v>3</v>
      </c>
      <c r="AG14" s="31">
        <v>1</v>
      </c>
    </row>
    <row r="15" spans="1:33" ht="21.75" customHeight="1" x14ac:dyDescent="0.25">
      <c r="A15" s="14">
        <v>8</v>
      </c>
      <c r="B15" s="29" t="s">
        <v>64</v>
      </c>
      <c r="C15" s="15" t="s">
        <v>67</v>
      </c>
      <c r="D15" s="15"/>
      <c r="E15" s="15"/>
      <c r="F15" s="15" t="s">
        <v>67</v>
      </c>
      <c r="G15" s="30">
        <v>1</v>
      </c>
      <c r="H15" s="31">
        <v>2</v>
      </c>
      <c r="I15" s="2">
        <f t="shared" si="0"/>
        <v>41</v>
      </c>
      <c r="J15" s="32">
        <v>39</v>
      </c>
      <c r="K15" s="32">
        <v>2</v>
      </c>
      <c r="L15" s="32">
        <v>39</v>
      </c>
      <c r="M15" s="32">
        <v>1</v>
      </c>
      <c r="N15" s="33">
        <v>1.46</v>
      </c>
      <c r="O15" s="30">
        <v>3</v>
      </c>
      <c r="P15" s="32">
        <v>38</v>
      </c>
      <c r="Q15" s="32">
        <v>0</v>
      </c>
      <c r="R15" s="32">
        <v>0</v>
      </c>
      <c r="S15" s="34">
        <v>0</v>
      </c>
      <c r="T15" s="30">
        <v>32</v>
      </c>
      <c r="U15" s="32">
        <v>2</v>
      </c>
      <c r="V15" s="32">
        <v>1</v>
      </c>
      <c r="W15" s="32">
        <v>1</v>
      </c>
      <c r="X15" s="32">
        <v>1</v>
      </c>
      <c r="Y15" s="31">
        <v>4</v>
      </c>
      <c r="Z15" s="15"/>
      <c r="AA15" s="32">
        <v>39</v>
      </c>
      <c r="AB15" s="32">
        <v>2</v>
      </c>
      <c r="AC15" s="15"/>
      <c r="AD15" s="15"/>
      <c r="AE15" s="35">
        <v>1</v>
      </c>
      <c r="AF15" s="30">
        <v>4</v>
      </c>
      <c r="AG15" s="31">
        <v>1</v>
      </c>
    </row>
    <row r="16" spans="1:33" ht="21.75" customHeight="1" x14ac:dyDescent="0.25">
      <c r="A16" s="14">
        <v>9</v>
      </c>
      <c r="B16" s="29" t="s">
        <v>65</v>
      </c>
      <c r="C16" s="15" t="s">
        <v>67</v>
      </c>
      <c r="D16" s="15"/>
      <c r="E16" s="15"/>
      <c r="F16" s="15" t="s">
        <v>67</v>
      </c>
      <c r="G16" s="30">
        <v>1</v>
      </c>
      <c r="H16" s="31">
        <v>2</v>
      </c>
      <c r="I16" s="2">
        <f t="shared" si="0"/>
        <v>86</v>
      </c>
      <c r="J16" s="32">
        <v>77</v>
      </c>
      <c r="K16" s="32">
        <v>9</v>
      </c>
      <c r="L16" s="32">
        <v>82</v>
      </c>
      <c r="M16" s="32">
        <v>1</v>
      </c>
      <c r="N16" s="33">
        <v>1.51</v>
      </c>
      <c r="O16" s="30">
        <v>6</v>
      </c>
      <c r="P16" s="32">
        <v>80</v>
      </c>
      <c r="Q16" s="32">
        <v>0</v>
      </c>
      <c r="R16" s="32">
        <v>0</v>
      </c>
      <c r="S16" s="34">
        <v>0</v>
      </c>
      <c r="T16" s="30">
        <v>66</v>
      </c>
      <c r="U16" s="32">
        <v>2</v>
      </c>
      <c r="V16" s="32">
        <v>3</v>
      </c>
      <c r="W16" s="32">
        <v>3</v>
      </c>
      <c r="X16" s="32">
        <v>3</v>
      </c>
      <c r="Y16" s="31">
        <v>9</v>
      </c>
      <c r="Z16" s="15"/>
      <c r="AA16" s="32">
        <v>77</v>
      </c>
      <c r="AB16" s="32">
        <v>9</v>
      </c>
      <c r="AC16" s="15"/>
      <c r="AD16" s="15"/>
      <c r="AE16" s="35">
        <v>1</v>
      </c>
      <c r="AF16" s="30">
        <v>3</v>
      </c>
      <c r="AG16" s="31">
        <v>1</v>
      </c>
    </row>
    <row r="17" spans="1:33" ht="21.75" customHeight="1" x14ac:dyDescent="0.25">
      <c r="A17" s="14">
        <v>10</v>
      </c>
      <c r="B17" s="29" t="s">
        <v>66</v>
      </c>
      <c r="C17" s="15"/>
      <c r="D17" s="15"/>
      <c r="E17" s="15" t="s">
        <v>67</v>
      </c>
      <c r="F17" s="15" t="s">
        <v>67</v>
      </c>
      <c r="G17" s="30">
        <v>1</v>
      </c>
      <c r="H17" s="31">
        <v>2</v>
      </c>
      <c r="I17" s="2">
        <f t="shared" si="0"/>
        <v>16</v>
      </c>
      <c r="J17" s="32">
        <v>0</v>
      </c>
      <c r="K17" s="32">
        <v>16</v>
      </c>
      <c r="L17" s="32">
        <v>16</v>
      </c>
      <c r="M17" s="32">
        <v>0</v>
      </c>
      <c r="N17" s="33">
        <v>1.6</v>
      </c>
      <c r="O17" s="30">
        <v>1</v>
      </c>
      <c r="P17" s="32">
        <v>15</v>
      </c>
      <c r="Q17" s="32">
        <v>0</v>
      </c>
      <c r="R17" s="32">
        <v>0</v>
      </c>
      <c r="S17" s="34">
        <v>0</v>
      </c>
      <c r="T17" s="30">
        <v>12</v>
      </c>
      <c r="U17" s="32">
        <v>1</v>
      </c>
      <c r="V17" s="32">
        <v>1</v>
      </c>
      <c r="W17" s="32">
        <v>1</v>
      </c>
      <c r="X17" s="32">
        <v>0</v>
      </c>
      <c r="Y17" s="31">
        <v>1</v>
      </c>
      <c r="Z17" s="15"/>
      <c r="AA17" s="32">
        <v>0</v>
      </c>
      <c r="AB17" s="32">
        <v>16</v>
      </c>
      <c r="AC17" s="15"/>
      <c r="AD17" s="15"/>
      <c r="AE17" s="35">
        <v>1</v>
      </c>
      <c r="AF17" s="30">
        <v>3</v>
      </c>
      <c r="AG17" s="31">
        <v>0</v>
      </c>
    </row>
    <row r="18" spans="1:33" ht="21.75" customHeight="1" x14ac:dyDescent="0.25">
      <c r="A18" s="40" t="s">
        <v>52</v>
      </c>
      <c r="B18" s="40"/>
      <c r="C18" s="1">
        <f>SUM(C8:C17)</f>
        <v>0</v>
      </c>
      <c r="D18" s="1">
        <f>SUM(D8:D17)</f>
        <v>0</v>
      </c>
      <c r="E18" s="1">
        <f>SUM(E8:E17)</f>
        <v>0</v>
      </c>
      <c r="F18" s="1">
        <f>SUM(F8:F17)</f>
        <v>0</v>
      </c>
      <c r="G18" s="1">
        <f t="shared" ref="G18:AG18" si="1">SUM(G8:G17)</f>
        <v>10</v>
      </c>
      <c r="H18" s="1">
        <f t="shared" si="1"/>
        <v>15</v>
      </c>
      <c r="I18" s="1">
        <f t="shared" si="1"/>
        <v>436</v>
      </c>
      <c r="J18" s="1">
        <f t="shared" si="1"/>
        <v>389</v>
      </c>
      <c r="K18" s="1">
        <f t="shared" si="1"/>
        <v>47</v>
      </c>
      <c r="L18" s="1">
        <f t="shared" si="1"/>
        <v>416</v>
      </c>
      <c r="M18" s="1">
        <f t="shared" si="1"/>
        <v>6</v>
      </c>
      <c r="N18" s="8"/>
      <c r="O18" s="1">
        <f t="shared" si="1"/>
        <v>37</v>
      </c>
      <c r="P18" s="1">
        <f t="shared" si="1"/>
        <v>399</v>
      </c>
      <c r="Q18" s="1">
        <f t="shared" si="1"/>
        <v>0</v>
      </c>
      <c r="R18" s="1">
        <f t="shared" si="1"/>
        <v>0</v>
      </c>
      <c r="S18" s="1">
        <f t="shared" si="1"/>
        <v>0</v>
      </c>
      <c r="T18" s="1">
        <f t="shared" si="1"/>
        <v>342</v>
      </c>
      <c r="U18" s="1">
        <f t="shared" si="1"/>
        <v>14</v>
      </c>
      <c r="V18" s="1">
        <f t="shared" si="1"/>
        <v>12</v>
      </c>
      <c r="W18" s="1">
        <f t="shared" si="1"/>
        <v>15</v>
      </c>
      <c r="X18" s="1">
        <f t="shared" si="1"/>
        <v>12</v>
      </c>
      <c r="Y18" s="1">
        <f t="shared" si="1"/>
        <v>42</v>
      </c>
      <c r="Z18" s="1">
        <f t="shared" si="1"/>
        <v>0</v>
      </c>
      <c r="AA18" s="1">
        <f t="shared" si="1"/>
        <v>389</v>
      </c>
      <c r="AB18" s="1">
        <f t="shared" si="1"/>
        <v>47</v>
      </c>
      <c r="AC18" s="1">
        <f t="shared" si="1"/>
        <v>0</v>
      </c>
      <c r="AD18" s="1">
        <f t="shared" si="1"/>
        <v>0</v>
      </c>
      <c r="AE18" s="1">
        <f t="shared" si="1"/>
        <v>10</v>
      </c>
      <c r="AF18" s="1">
        <f t="shared" si="1"/>
        <v>26</v>
      </c>
      <c r="AG18" s="1">
        <f t="shared" si="1"/>
        <v>6</v>
      </c>
    </row>
    <row r="19" spans="1:33" ht="15" customHeight="1" x14ac:dyDescent="0.25">
      <c r="AA19" s="16"/>
      <c r="AB19" s="16"/>
      <c r="AC19" s="16"/>
      <c r="AD19" s="16"/>
      <c r="AE19" s="16"/>
      <c r="AF19" s="16"/>
      <c r="AG19" s="16"/>
    </row>
    <row r="20" spans="1:33" ht="15" customHeight="1" x14ac:dyDescent="0.25">
      <c r="A20" s="40" t="s">
        <v>40</v>
      </c>
      <c r="B20" s="40"/>
      <c r="C20" s="40"/>
      <c r="D20" s="40"/>
      <c r="E20" s="40"/>
      <c r="F20" s="40"/>
      <c r="G20" s="40"/>
      <c r="H20" s="40"/>
      <c r="I20" s="40"/>
      <c r="J20" s="40"/>
      <c r="K20" s="8" t="s">
        <v>41</v>
      </c>
      <c r="L20" s="8" t="s">
        <v>42</v>
      </c>
    </row>
    <row r="21" spans="1:33" ht="15" customHeight="1" x14ac:dyDescent="0.25">
      <c r="A21" s="42" t="s">
        <v>43</v>
      </c>
      <c r="B21" s="42"/>
      <c r="C21" s="42"/>
      <c r="D21" s="42"/>
      <c r="E21" s="42"/>
      <c r="F21" s="42"/>
      <c r="G21" s="42"/>
      <c r="H21" s="42"/>
      <c r="I21" s="42"/>
      <c r="J21" s="42"/>
      <c r="K21" s="17">
        <f>SUM(O18:Q18)</f>
        <v>436</v>
      </c>
      <c r="L21" s="18">
        <v>100</v>
      </c>
      <c r="Z21" s="19"/>
      <c r="AA21" s="19"/>
      <c r="AB21" s="19"/>
      <c r="AC21" s="19"/>
      <c r="AD21" s="19"/>
      <c r="AE21" s="19"/>
      <c r="AF21" s="19"/>
      <c r="AG21" s="19"/>
    </row>
    <row r="22" spans="1:33" ht="15" customHeight="1" x14ac:dyDescent="0.3">
      <c r="A22" s="42" t="s">
        <v>44</v>
      </c>
      <c r="B22" s="42"/>
      <c r="C22" s="42"/>
      <c r="D22" s="42"/>
      <c r="E22" s="42"/>
      <c r="F22" s="42"/>
      <c r="G22" s="42"/>
      <c r="H22" s="42"/>
      <c r="I22" s="42"/>
      <c r="J22" s="42"/>
      <c r="K22" s="17">
        <f>SUM(O18:P18)</f>
        <v>436</v>
      </c>
      <c r="L22" s="18">
        <v>100</v>
      </c>
      <c r="O22" s="20"/>
      <c r="Z22" s="21"/>
      <c r="AA22" s="19"/>
      <c r="AB22" s="19"/>
      <c r="AC22" s="19"/>
      <c r="AD22" s="19"/>
      <c r="AE22" s="19"/>
      <c r="AF22" s="19"/>
      <c r="AG22" s="19"/>
    </row>
    <row r="23" spans="1:33" ht="15" customHeight="1" x14ac:dyDescent="0.3">
      <c r="A23" s="42" t="s">
        <v>46</v>
      </c>
      <c r="B23" s="42"/>
      <c r="C23" s="42"/>
      <c r="D23" s="42"/>
      <c r="E23" s="42"/>
      <c r="F23" s="42"/>
      <c r="G23" s="42"/>
      <c r="H23" s="42"/>
      <c r="I23" s="42"/>
      <c r="J23" s="42"/>
      <c r="K23" s="17">
        <f>SUM(AA18:AC18)</f>
        <v>436</v>
      </c>
      <c r="L23" s="18">
        <v>100</v>
      </c>
      <c r="AB23" s="20"/>
    </row>
    <row r="24" spans="1:33" ht="6.65" customHeight="1" x14ac:dyDescent="0.25">
      <c r="AA24" s="41"/>
      <c r="AB24" s="41"/>
      <c r="AC24" s="41"/>
      <c r="AD24" s="41"/>
      <c r="AE24" s="41"/>
      <c r="AF24" s="41"/>
      <c r="AG24" s="41"/>
    </row>
    <row r="25" spans="1:33" s="22" customFormat="1" ht="16.149999999999999" customHeight="1" x14ac:dyDescent="0.35">
      <c r="C25" s="23"/>
      <c r="D25" s="23"/>
      <c r="E25" s="23"/>
      <c r="F25" s="23"/>
      <c r="G25" s="23"/>
      <c r="H25" s="23"/>
      <c r="I25" s="24"/>
      <c r="J25" s="24"/>
      <c r="K25" s="23"/>
      <c r="O25" s="39" t="s">
        <v>68</v>
      </c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</row>
    <row r="26" spans="1:33" s="22" customFormat="1" ht="16.899999999999999" customHeight="1" x14ac:dyDescent="0.3">
      <c r="C26" s="23"/>
      <c r="D26" s="23"/>
      <c r="E26" s="23"/>
      <c r="F26" s="23"/>
      <c r="G26" s="25"/>
      <c r="H26" s="25"/>
      <c r="I26" s="26"/>
      <c r="J26" s="26"/>
      <c r="K26" s="23"/>
      <c r="O26" s="37" t="s">
        <v>54</v>
      </c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</row>
    <row r="27" spans="1:33" s="22" customFormat="1" ht="16.899999999999999" customHeight="1" x14ac:dyDescent="0.3">
      <c r="B27" s="38" t="s">
        <v>45</v>
      </c>
      <c r="C27" s="38"/>
      <c r="D27" s="38"/>
      <c r="E27" s="38"/>
      <c r="F27" s="38"/>
      <c r="J27" s="27"/>
      <c r="K27" s="27"/>
      <c r="L27" s="27"/>
      <c r="M27" s="27"/>
      <c r="N27" s="27"/>
      <c r="O27" s="37" t="s">
        <v>53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</row>
    <row r="28" spans="1:33" s="22" customFormat="1" ht="16.899999999999999" customHeight="1" x14ac:dyDescent="0.3">
      <c r="C28" s="23"/>
      <c r="D28" s="23"/>
      <c r="E28" s="23"/>
      <c r="F28" s="23"/>
      <c r="J28" s="28"/>
      <c r="K28" s="28"/>
      <c r="L28" s="28"/>
      <c r="M28" s="28"/>
      <c r="N28" s="28"/>
      <c r="O28" s="36" t="s">
        <v>55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</row>
    <row r="29" spans="1:33" s="22" customFormat="1" ht="18.75" customHeight="1" x14ac:dyDescent="0.3">
      <c r="C29" s="23"/>
      <c r="D29" s="23"/>
      <c r="E29" s="23"/>
      <c r="F29" s="23"/>
      <c r="K29" s="23"/>
      <c r="L29" s="23"/>
      <c r="M29" s="23"/>
      <c r="N29" s="23"/>
      <c r="O29" s="23"/>
      <c r="P29" s="23"/>
      <c r="Q29" s="23"/>
      <c r="R29" s="23"/>
      <c r="S29" s="23"/>
    </row>
    <row r="30" spans="1:33" s="22" customFormat="1" ht="19.149999999999999" customHeight="1" x14ac:dyDescent="0.3">
      <c r="C30" s="23"/>
      <c r="D30" s="23"/>
      <c r="E30" s="23"/>
      <c r="F30" s="23"/>
      <c r="K30" s="23"/>
      <c r="L30" s="23"/>
      <c r="M30" s="23"/>
      <c r="N30" s="23"/>
      <c r="O30" s="23"/>
      <c r="P30" s="23"/>
      <c r="Q30" s="23"/>
      <c r="R30" s="23"/>
      <c r="S30" s="23"/>
    </row>
    <row r="31" spans="1:33" s="22" customFormat="1" ht="18.75" customHeight="1" x14ac:dyDescent="0.3">
      <c r="C31" s="23"/>
      <c r="D31" s="23"/>
      <c r="E31" s="23"/>
      <c r="F31" s="23"/>
      <c r="K31" s="23"/>
      <c r="L31" s="23"/>
      <c r="M31" s="23"/>
      <c r="N31" s="23"/>
      <c r="O31" s="23"/>
      <c r="P31" s="23"/>
      <c r="Q31" s="23"/>
      <c r="R31" s="23"/>
      <c r="S31" s="23"/>
    </row>
    <row r="32" spans="1:33" s="22" customFormat="1" ht="18.75" customHeight="1" x14ac:dyDescent="0.3">
      <c r="C32" s="23"/>
      <c r="D32" s="23"/>
      <c r="E32" s="23"/>
      <c r="F32" s="23"/>
      <c r="K32" s="23"/>
      <c r="L32" s="23"/>
      <c r="M32" s="23"/>
      <c r="N32" s="23"/>
    </row>
    <row r="33" spans="2:33" s="22" customFormat="1" ht="18.75" customHeight="1" x14ac:dyDescent="0.3">
      <c r="B33" s="37" t="s">
        <v>70</v>
      </c>
      <c r="C33" s="37"/>
      <c r="D33" s="37"/>
      <c r="E33" s="37"/>
      <c r="F33" s="37"/>
      <c r="J33" s="27"/>
      <c r="K33" s="27"/>
      <c r="L33" s="27"/>
      <c r="M33" s="27"/>
      <c r="N33" s="27"/>
      <c r="O33" s="37" t="s">
        <v>69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</row>
    <row r="34" spans="2:33" s="22" customFormat="1" ht="15" customHeight="1" x14ac:dyDescent="0.3"/>
    <row r="35" spans="2:33" s="22" customFormat="1" ht="15" customHeight="1" x14ac:dyDescent="0.3"/>
    <row r="36" spans="2:33" s="22" customFormat="1" ht="15" customHeight="1" x14ac:dyDescent="0.3"/>
    <row r="37" spans="2:33" s="22" customFormat="1" ht="15" customHeight="1" x14ac:dyDescent="0.3"/>
    <row r="38" spans="2:33" s="22" customFormat="1" ht="15" customHeight="1" x14ac:dyDescent="0.3"/>
    <row r="39" spans="2:33" s="22" customFormat="1" ht="15" customHeight="1" x14ac:dyDescent="0.3"/>
    <row r="40" spans="2:33" s="22" customFormat="1" ht="15" customHeight="1" x14ac:dyDescent="0.3"/>
    <row r="41" spans="2:33" s="22" customFormat="1" ht="15" customHeight="1" x14ac:dyDescent="0.3"/>
    <row r="42" spans="2:33" s="22" customFormat="1" ht="15" customHeight="1" x14ac:dyDescent="0.3"/>
  </sheetData>
  <sheetProtection password="ED8D" sheet="1"/>
  <mergeCells count="41">
    <mergeCell ref="AE1:AG1"/>
    <mergeCell ref="AF4:AG4"/>
    <mergeCell ref="AE5:AE6"/>
    <mergeCell ref="B4:F4"/>
    <mergeCell ref="T5:Z5"/>
    <mergeCell ref="G4:H4"/>
    <mergeCell ref="AF5:AF6"/>
    <mergeCell ref="C1:AD1"/>
    <mergeCell ref="AG5:AG6"/>
    <mergeCell ref="N5:N6"/>
    <mergeCell ref="M5:M6"/>
    <mergeCell ref="A2:B2"/>
    <mergeCell ref="A3:B3"/>
    <mergeCell ref="I4:AE4"/>
    <mergeCell ref="I5:I6"/>
    <mergeCell ref="J5:J6"/>
    <mergeCell ref="O5:S5"/>
    <mergeCell ref="AA5:AD5"/>
    <mergeCell ref="C2:AD2"/>
    <mergeCell ref="K5:K6"/>
    <mergeCell ref="L5:L6"/>
    <mergeCell ref="G5:G6"/>
    <mergeCell ref="A1:B1"/>
    <mergeCell ref="B5:B6"/>
    <mergeCell ref="A4:A6"/>
    <mergeCell ref="F5:F6"/>
    <mergeCell ref="H5:H6"/>
    <mergeCell ref="C5:E5"/>
    <mergeCell ref="A18:B18"/>
    <mergeCell ref="AA24:AG24"/>
    <mergeCell ref="A20:J20"/>
    <mergeCell ref="A21:J21"/>
    <mergeCell ref="A22:J22"/>
    <mergeCell ref="A23:J23"/>
    <mergeCell ref="O28:AG28"/>
    <mergeCell ref="O27:AG27"/>
    <mergeCell ref="O33:AG33"/>
    <mergeCell ref="B27:F27"/>
    <mergeCell ref="B33:F33"/>
    <mergeCell ref="O25:AG25"/>
    <mergeCell ref="O26:AG26"/>
  </mergeCells>
  <pageMargins left="0.25" right="0.25" top="0.5" bottom="0.25" header="0.511811023622047" footer="0.511811023622047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đội ngũ giáo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Mrs_Quynh</dc:creator>
  <cp:lastModifiedBy>Nam Đậu Hồng</cp:lastModifiedBy>
  <cp:lastPrinted>2025-12-16T13:31:13Z</cp:lastPrinted>
  <dcterms:created xsi:type="dcterms:W3CDTF">2026-04-01T00:39:30Z</dcterms:created>
  <dcterms:modified xsi:type="dcterms:W3CDTF">2026-08-11T08:43:56Z</dcterms:modified>
</cp:coreProperties>
</file>