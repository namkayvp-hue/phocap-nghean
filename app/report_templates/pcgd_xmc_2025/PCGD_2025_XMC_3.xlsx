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Biểu mẫu\Biểu mẫu\XMC\"/>
    </mc:Choice>
  </mc:AlternateContent>
  <xr:revisionPtr revIDLastSave="0" documentId="8_{CF49A28C-237F-4D83-BF26-8D7EBBA2DC09}" xr6:coauthVersionLast="47" xr6:coauthVersionMax="47" xr10:uidLastSave="{00000000-0000-0000-0000-000000000000}"/>
  <bookViews>
    <workbookView xWindow="-110" yWindow="-110" windowWidth="22780" windowHeight="14540" xr2:uid="{00193839-FDF1-4B9D-B6F9-59AAA5DAA886}"/>
  </bookViews>
  <sheets>
    <sheet name="Tổng hợp kêt quả xóa mù chữ" sheetId="1" r:id="rId1"/>
  </sheets>
  <definedNames>
    <definedName name="_xlnm.Print_Titles" localSheetId="0">'Tổng hợp kêt quả xóa mù chữ'!$6:$8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7" i="1" l="1"/>
  <c r="E57" i="1"/>
  <c r="F57" i="1"/>
  <c r="G57" i="1"/>
  <c r="H57" i="1"/>
  <c r="I57" i="1"/>
  <c r="J57" i="1"/>
  <c r="K57" i="1"/>
  <c r="L57" i="1"/>
  <c r="M57" i="1"/>
  <c r="N57" i="1"/>
  <c r="O57" i="1"/>
  <c r="S57" i="1" s="1"/>
  <c r="P57" i="1"/>
  <c r="Q57" i="1"/>
  <c r="R57" i="1"/>
  <c r="C57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C31" i="1"/>
  <c r="D20" i="1"/>
  <c r="E20" i="1"/>
  <c r="F20" i="1"/>
  <c r="G20" i="1"/>
  <c r="H20" i="1"/>
  <c r="I20" i="1"/>
  <c r="J20" i="1"/>
  <c r="K20" i="1"/>
  <c r="L20" i="1"/>
  <c r="M20" i="1"/>
  <c r="N20" i="1"/>
  <c r="O20" i="1"/>
  <c r="S20" i="1" s="1"/>
  <c r="P20" i="1"/>
  <c r="Q20" i="1"/>
  <c r="R20" i="1"/>
  <c r="C20" i="1"/>
  <c r="S10" i="1"/>
  <c r="S11" i="1"/>
  <c r="S12" i="1"/>
  <c r="S13" i="1"/>
  <c r="S14" i="1"/>
  <c r="S15" i="1"/>
  <c r="S16" i="1"/>
  <c r="S17" i="1"/>
  <c r="S18" i="1"/>
  <c r="S19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9" i="1"/>
  <c r="S31" i="1"/>
</calcChain>
</file>

<file path=xl/sharedStrings.xml><?xml version="1.0" encoding="utf-8"?>
<sst xmlns="http://schemas.openxmlformats.org/spreadsheetml/2006/main" count="84" uniqueCount="72">
  <si>
    <t>XMC-03</t>
  </si>
  <si>
    <t>TỔNG HỢP KẾT QUẢ XOÁ MÙ CHỮ</t>
  </si>
  <si>
    <t>Độ tuổi</t>
  </si>
  <si>
    <t>Năm sinh</t>
  </si>
  <si>
    <t>TRONG ĐỘ TUỔI</t>
  </si>
  <si>
    <t>MÙ CHỮ</t>
  </si>
  <si>
    <t>BIẾT CHỮ</t>
  </si>
  <si>
    <t>Tỷ lệ %
biết chữ</t>
  </si>
  <si>
    <t>Mù chữ mức 1</t>
  </si>
  <si>
    <t>Mù chữ mức 2</t>
  </si>
  <si>
    <t>TS</t>
  </si>
  <si>
    <t>Nữ</t>
  </si>
  <si>
    <t>Dân tộc</t>
  </si>
  <si>
    <t>Nữ dân tộc</t>
  </si>
  <si>
    <t>15 tuổi</t>
  </si>
  <si>
    <t>16 tuổi</t>
  </si>
  <si>
    <t>17 tuổi</t>
  </si>
  <si>
    <t>18 tuổi</t>
  </si>
  <si>
    <t>19 tuổi</t>
  </si>
  <si>
    <t>20 tuổi</t>
  </si>
  <si>
    <t>21 tuổi</t>
  </si>
  <si>
    <t>22 tuổi</t>
  </si>
  <si>
    <t>23 tuổi</t>
  </si>
  <si>
    <t>24 tuổi</t>
  </si>
  <si>
    <t>25 tuổi</t>
  </si>
  <si>
    <t>Cộng 15 - 25</t>
  </si>
  <si>
    <t>26 tuổi</t>
  </si>
  <si>
    <t>27 tuổi</t>
  </si>
  <si>
    <t>28 tuổi</t>
  </si>
  <si>
    <t>29 tuổi</t>
  </si>
  <si>
    <t>30 tuổi</t>
  </si>
  <si>
    <t>31 tuổi</t>
  </si>
  <si>
    <t>32 tuổi</t>
  </si>
  <si>
    <t>33 tuổi</t>
  </si>
  <si>
    <t>34 tuổi</t>
  </si>
  <si>
    <t>35 tuổi</t>
  </si>
  <si>
    <t>Cộng 15 - 35</t>
  </si>
  <si>
    <t>36 tuổi</t>
  </si>
  <si>
    <t>37 tuổi</t>
  </si>
  <si>
    <t>38 tuổi</t>
  </si>
  <si>
    <t>39 tuổi</t>
  </si>
  <si>
    <t>40 tuổi</t>
  </si>
  <si>
    <t>41 tuổi</t>
  </si>
  <si>
    <t>42 tuổi</t>
  </si>
  <si>
    <t>43 tuổi</t>
  </si>
  <si>
    <t>44 tuổi</t>
  </si>
  <si>
    <t>45 tuổi</t>
  </si>
  <si>
    <t>46 tuổi</t>
  </si>
  <si>
    <t>47 tuổi</t>
  </si>
  <si>
    <t>48 tuổi</t>
  </si>
  <si>
    <t>49 tuổi</t>
  </si>
  <si>
    <t>50 tuổi</t>
  </si>
  <si>
    <t>51 tuổi</t>
  </si>
  <si>
    <t>52 tuổi</t>
  </si>
  <si>
    <t>53 tuổi</t>
  </si>
  <si>
    <t>54 tuổi</t>
  </si>
  <si>
    <t>55 tuổi</t>
  </si>
  <si>
    <t>56 tuổi</t>
  </si>
  <si>
    <t>57 tuổi</t>
  </si>
  <si>
    <t>58 tuổi</t>
  </si>
  <si>
    <t>59 tuổi</t>
  </si>
  <si>
    <t>60 tuổi</t>
  </si>
  <si>
    <t>Cộng 15 - 60</t>
  </si>
  <si>
    <t>NGƯỜI LẬP BIỂU</t>
  </si>
  <si>
    <t>Tỉnh: Nghệ An</t>
  </si>
  <si>
    <t>PHÓ CHỦ TỊCH</t>
  </si>
  <si>
    <t>XÁC NHẬN CỦA UBND XÃ/PHƯỜNG</t>
  </si>
  <si>
    <t>(Kí tên, đóng dấu)</t>
  </si>
  <si>
    <t>Phường: Thành Vinh</t>
  </si>
  <si>
    <t>Thành Vinh, ngày      tháng      năm 2025</t>
  </si>
  <si>
    <t>Nguyễn Quang Vinh</t>
  </si>
  <si>
    <t>Nguyễn Thị Như Quỳnh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</si>
</sst>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_-* #,##0.00\ &quot;₫&quot;_-;\-* #,##0.00\ &quot;₫&quot;_-;_-* &quot;-&quot;??\ &quot;₫&quot;_-;_-@_-"/>
    <numFmt numFmtId="171" formatCode="#,###"/>
  </numFmts>
  <fonts count="14" x14ac:knownFonts="1">
    <font>
      <sz val="11"/>
      <color indexed="8"/>
      <name val="Calibri"/>
    </font>
    <font>
      <sz val="10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7.7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dotted">
        <color indexed="8"/>
      </right>
      <top/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/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dotted">
        <color indexed="8"/>
      </right>
      <top style="dotted">
        <color indexed="8"/>
      </top>
      <bottom/>
      <diagonal/>
    </border>
    <border>
      <left style="dotted">
        <color indexed="8"/>
      </left>
      <right style="dotted">
        <color indexed="8"/>
      </right>
      <top style="dotted">
        <color indexed="8"/>
      </top>
      <bottom/>
      <diagonal/>
    </border>
    <border>
      <left/>
      <right style="dotted">
        <color indexed="8"/>
      </right>
      <top style="dotted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71">
    <xf numFmtId="0" fontId="0" fillId="0" borderId="0" xfId="0" applyFill="1" applyProtection="1"/>
    <xf numFmtId="49" fontId="2" fillId="0" borderId="1" xfId="0" applyNumberFormat="1" applyFont="1" applyFill="1" applyBorder="1" applyAlignment="1" applyProtection="1">
      <alignment horizontal="center" vertical="center" shrinkToFit="1"/>
    </xf>
    <xf numFmtId="0" fontId="2" fillId="0" borderId="1" xfId="0" applyFont="1" applyFill="1" applyBorder="1" applyAlignment="1" applyProtection="1">
      <alignment horizontal="center" vertical="center"/>
    </xf>
    <xf numFmtId="49" fontId="2" fillId="0" borderId="2" xfId="0" applyNumberFormat="1" applyFont="1" applyFill="1" applyBorder="1" applyAlignment="1" applyProtection="1">
      <alignment horizontal="center" vertical="center" shrinkToFit="1"/>
    </xf>
    <xf numFmtId="0" fontId="2" fillId="0" borderId="2" xfId="0" applyFont="1" applyFill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center" vertical="center" shrinkToFit="1"/>
    </xf>
    <xf numFmtId="0" fontId="2" fillId="0" borderId="3" xfId="0" applyFont="1" applyFill="1" applyBorder="1" applyAlignment="1" applyProtection="1">
      <alignment horizontal="center" vertical="center" shrinkToFit="1"/>
    </xf>
    <xf numFmtId="0" fontId="2" fillId="0" borderId="1" xfId="0" applyFont="1" applyFill="1" applyBorder="1" applyAlignment="1" applyProtection="1">
      <alignment horizontal="center" vertical="center" shrinkToFit="1"/>
    </xf>
    <xf numFmtId="0" fontId="2" fillId="0" borderId="3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 shrinkToFit="1"/>
    </xf>
    <xf numFmtId="1" fontId="3" fillId="2" borderId="4" xfId="0" applyNumberFormat="1" applyFont="1" applyFill="1" applyBorder="1" applyAlignment="1" applyProtection="1">
      <alignment horizontal="center" vertical="center" shrinkToFit="1"/>
    </xf>
    <xf numFmtId="2" fontId="2" fillId="2" borderId="3" xfId="0" applyNumberFormat="1" applyFont="1" applyFill="1" applyBorder="1" applyAlignment="1" applyProtection="1">
      <alignment horizontal="center" vertical="center"/>
    </xf>
    <xf numFmtId="2" fontId="2" fillId="2" borderId="5" xfId="0" applyNumberFormat="1" applyFont="1" applyFill="1" applyBorder="1" applyAlignment="1" applyProtection="1">
      <alignment horizontal="center" vertical="center"/>
    </xf>
    <xf numFmtId="2" fontId="2" fillId="2" borderId="6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49" fontId="3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wrapText="1"/>
      <protection locked="0"/>
    </xf>
    <xf numFmtId="1" fontId="2" fillId="0" borderId="7" xfId="0" applyNumberFormat="1" applyFont="1" applyFill="1" applyBorder="1" applyAlignment="1" applyProtection="1">
      <alignment horizontal="center" vertical="center"/>
      <protection locked="0"/>
    </xf>
    <xf numFmtId="1" fontId="2" fillId="0" borderId="8" xfId="0" applyNumberFormat="1" applyFont="1" applyFill="1" applyBorder="1" applyAlignment="1" applyProtection="1">
      <alignment horizontal="center" vertical="center"/>
      <protection locked="0"/>
    </xf>
    <xf numFmtId="1" fontId="2" fillId="0" borderId="9" xfId="0" applyNumberFormat="1" applyFont="1" applyFill="1" applyBorder="1" applyAlignment="1" applyProtection="1">
      <alignment horizontal="center" vertical="center"/>
      <protection locked="0"/>
    </xf>
    <xf numFmtId="1" fontId="2" fillId="0" borderId="10" xfId="0" applyNumberFormat="1" applyFont="1" applyFill="1" applyBorder="1" applyAlignment="1" applyProtection="1">
      <alignment horizontal="center" vertical="center"/>
      <protection locked="0"/>
    </xf>
    <xf numFmtId="1" fontId="2" fillId="0" borderId="11" xfId="0" applyNumberFormat="1" applyFont="1" applyFill="1" applyBorder="1" applyAlignment="1" applyProtection="1">
      <alignment horizontal="center" vertical="center"/>
      <protection locked="0"/>
    </xf>
    <xf numFmtId="1" fontId="2" fillId="0" borderId="12" xfId="0" applyNumberFormat="1" applyFont="1" applyFill="1" applyBorder="1" applyAlignment="1" applyProtection="1">
      <alignment horizontal="center" vertical="center"/>
      <protection locked="0"/>
    </xf>
    <xf numFmtId="1" fontId="2" fillId="0" borderId="13" xfId="0" applyNumberFormat="1" applyFont="1" applyFill="1" applyBorder="1" applyAlignment="1" applyProtection="1">
      <alignment horizontal="center" vertical="center"/>
      <protection locked="0"/>
    </xf>
    <xf numFmtId="1" fontId="2" fillId="0" borderId="14" xfId="0" applyNumberFormat="1" applyFont="1" applyFill="1" applyBorder="1" applyAlignment="1" applyProtection="1">
      <alignment horizontal="center" vertical="center"/>
      <protection locked="0"/>
    </xf>
    <xf numFmtId="1" fontId="2" fillId="0" borderId="15" xfId="0" applyNumberFormat="1" applyFont="1" applyFill="1" applyBorder="1" applyAlignment="1" applyProtection="1">
      <alignment horizontal="center" vertical="center"/>
      <protection locked="0"/>
    </xf>
    <xf numFmtId="1" fontId="2" fillId="0" borderId="7" xfId="0" applyNumberFormat="1" applyFont="1" applyFill="1" applyBorder="1" applyAlignment="1" applyProtection="1">
      <alignment horizontal="center" vertical="center" shrinkToFit="1"/>
      <protection locked="0"/>
    </xf>
    <xf numFmtId="1" fontId="2" fillId="0" borderId="8" xfId="0" applyNumberFormat="1" applyFont="1" applyFill="1" applyBorder="1" applyAlignment="1" applyProtection="1">
      <alignment horizontal="center" vertical="center" shrinkToFit="1"/>
      <protection locked="0"/>
    </xf>
    <xf numFmtId="1" fontId="2" fillId="0" borderId="9" xfId="0" applyNumberFormat="1" applyFont="1" applyFill="1" applyBorder="1" applyAlignment="1" applyProtection="1">
      <alignment horizontal="center" vertical="center" shrinkToFit="1"/>
      <protection locked="0"/>
    </xf>
    <xf numFmtId="1" fontId="2" fillId="0" borderId="10" xfId="0" applyNumberFormat="1" applyFont="1" applyFill="1" applyBorder="1" applyAlignment="1" applyProtection="1">
      <alignment horizontal="center" vertical="center" shrinkToFit="1"/>
      <protection locked="0"/>
    </xf>
    <xf numFmtId="1" fontId="2" fillId="0" borderId="11" xfId="0" applyNumberFormat="1" applyFont="1" applyFill="1" applyBorder="1" applyAlignment="1" applyProtection="1">
      <alignment horizontal="center" vertical="center" shrinkToFit="1"/>
      <protection locked="0"/>
    </xf>
    <xf numFmtId="1" fontId="2" fillId="0" borderId="12" xfId="0" applyNumberFormat="1" applyFont="1" applyFill="1" applyBorder="1" applyAlignment="1" applyProtection="1">
      <alignment horizontal="center" vertical="center" shrinkToFit="1"/>
      <protection locked="0"/>
    </xf>
    <xf numFmtId="1" fontId="2" fillId="0" borderId="13" xfId="0" applyNumberFormat="1" applyFont="1" applyFill="1" applyBorder="1" applyAlignment="1" applyProtection="1">
      <alignment horizontal="center" vertical="center" shrinkToFit="1"/>
      <protection locked="0"/>
    </xf>
    <xf numFmtId="1" fontId="2" fillId="0" borderId="14" xfId="0" applyNumberFormat="1" applyFont="1" applyFill="1" applyBorder="1" applyAlignment="1" applyProtection="1">
      <alignment horizontal="center" vertical="center" shrinkToFit="1"/>
      <protection locked="0"/>
    </xf>
    <xf numFmtId="1" fontId="2" fillId="0" borderId="15" xfId="0" applyNumberFormat="1" applyFont="1" applyFill="1" applyBorder="1" applyAlignment="1" applyProtection="1">
      <alignment horizontal="center" vertical="center" shrinkToFit="1"/>
      <protection locked="0"/>
    </xf>
    <xf numFmtId="0" fontId="4" fillId="0" borderId="0" xfId="0" applyFont="1" applyFill="1" applyProtection="1">
      <protection locked="0"/>
    </xf>
    <xf numFmtId="0" fontId="5" fillId="0" borderId="0" xfId="0" applyFont="1" applyFill="1" applyAlignment="1" applyProtection="1"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0" fillId="0" borderId="0" xfId="0" applyFill="1" applyAlignment="1" applyProtection="1">
      <alignment horizontal="center"/>
      <protection locked="0"/>
    </xf>
    <xf numFmtId="171" fontId="13" fillId="0" borderId="18" xfId="0" applyNumberFormat="1" applyFont="1" applyBorder="1" applyAlignment="1" applyProtection="1">
      <alignment horizontal="center" vertical="center" shrinkToFit="1"/>
      <protection locked="0"/>
    </xf>
    <xf numFmtId="171" fontId="13" fillId="0" borderId="19" xfId="0" applyNumberFormat="1" applyFont="1" applyBorder="1" applyAlignment="1" applyProtection="1">
      <alignment horizontal="center" vertical="center" shrinkToFit="1"/>
      <protection locked="0"/>
    </xf>
    <xf numFmtId="171" fontId="13" fillId="0" borderId="20" xfId="0" applyNumberFormat="1" applyFont="1" applyBorder="1" applyAlignment="1" applyProtection="1">
      <alignment horizontal="center" vertical="center" shrinkToFit="1"/>
      <protection locked="0"/>
    </xf>
    <xf numFmtId="171" fontId="13" fillId="0" borderId="21" xfId="0" applyNumberFormat="1" applyFont="1" applyBorder="1" applyAlignment="1" applyProtection="1">
      <alignment horizontal="center" vertical="center" shrinkToFit="1"/>
      <protection locked="0"/>
    </xf>
    <xf numFmtId="171" fontId="13" fillId="0" borderId="22" xfId="0" applyNumberFormat="1" applyFont="1" applyBorder="1" applyAlignment="1" applyProtection="1">
      <alignment horizontal="center" vertical="center" shrinkToFit="1"/>
      <protection locked="0"/>
    </xf>
    <xf numFmtId="171" fontId="13" fillId="0" borderId="23" xfId="0" applyNumberFormat="1" applyFont="1" applyBorder="1" applyAlignment="1" applyProtection="1">
      <alignment horizontal="center" vertical="center" shrinkToFit="1"/>
      <protection locked="0"/>
    </xf>
    <xf numFmtId="171" fontId="13" fillId="0" borderId="24" xfId="0" applyNumberFormat="1" applyFont="1" applyBorder="1" applyAlignment="1" applyProtection="1">
      <alignment horizontal="center" vertical="center" shrinkToFit="1"/>
      <protection locked="0"/>
    </xf>
    <xf numFmtId="171" fontId="13" fillId="0" borderId="25" xfId="0" applyNumberFormat="1" applyFont="1" applyBorder="1" applyAlignment="1" applyProtection="1">
      <alignment horizontal="center" vertical="center" shrinkToFit="1"/>
      <protection locked="0"/>
    </xf>
    <xf numFmtId="171" fontId="13" fillId="0" borderId="26" xfId="0" applyNumberFormat="1" applyFont="1" applyBorder="1" applyAlignment="1" applyProtection="1">
      <alignment horizontal="center" vertical="center" shrinkToFit="1"/>
      <protection locked="0"/>
    </xf>
    <xf numFmtId="171" fontId="13" fillId="0" borderId="27" xfId="0" applyNumberFormat="1" applyFont="1" applyBorder="1" applyAlignment="1" applyProtection="1">
      <alignment horizontal="center" vertical="center" shrinkToFit="1"/>
      <protection locked="0"/>
    </xf>
    <xf numFmtId="171" fontId="13" fillId="0" borderId="28" xfId="0" applyNumberFormat="1" applyFont="1" applyBorder="1" applyAlignment="1" applyProtection="1">
      <alignment horizontal="center" vertical="center" shrinkToFit="1"/>
      <protection locked="0"/>
    </xf>
    <xf numFmtId="171" fontId="13" fillId="0" borderId="29" xfId="0" applyNumberFormat="1" applyFont="1" applyBorder="1" applyAlignment="1" applyProtection="1">
      <alignment horizontal="center" vertical="center" shrinkToFit="1"/>
      <protection locked="0"/>
    </xf>
    <xf numFmtId="0" fontId="6" fillId="0" borderId="0" xfId="0" applyFont="1" applyFill="1" applyAlignment="1" applyProtection="1">
      <alignment horizontal="center"/>
      <protection locked="0"/>
    </xf>
    <xf numFmtId="49" fontId="3" fillId="0" borderId="6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170" fontId="8" fillId="0" borderId="0" xfId="0" applyNumberFormat="1" applyFont="1" applyFill="1" applyAlignment="1" applyProtection="1">
      <alignment horizontal="center" vertical="center"/>
      <protection locked="0"/>
    </xf>
    <xf numFmtId="49" fontId="3" fillId="0" borderId="6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16" xfId="0" applyNumberFormat="1" applyFont="1" applyFill="1" applyBorder="1" applyAlignment="1" applyProtection="1">
      <alignment horizontal="center" vertical="center" shrinkToFit="1"/>
    </xf>
    <xf numFmtId="49" fontId="3" fillId="0" borderId="17" xfId="0" applyNumberFormat="1" applyFont="1" applyFill="1" applyBorder="1" applyAlignment="1" applyProtection="1">
      <alignment horizontal="center" vertical="center" shrinkToFit="1"/>
    </xf>
    <xf numFmtId="49" fontId="3" fillId="0" borderId="6" xfId="0" applyNumberFormat="1" applyFont="1" applyFill="1" applyBorder="1" applyAlignment="1" applyProtection="1">
      <alignment horizontal="center" vertical="center" shrinkToFit="1"/>
    </xf>
    <xf numFmtId="49" fontId="2" fillId="0" borderId="6" xfId="0" applyNumberFormat="1" applyFont="1" applyFill="1" applyBorder="1" applyAlignment="1" applyProtection="1">
      <alignment horizontal="center" vertical="center" shrinkToFit="1"/>
    </xf>
    <xf numFmtId="49" fontId="3" fillId="0" borderId="6" xfId="0" applyNumberFormat="1" applyFont="1" applyFill="1" applyBorder="1" applyAlignment="1" applyProtection="1">
      <alignment horizontal="center" vertical="center" shrinkToFit="1"/>
      <protection locked="0"/>
    </xf>
    <xf numFmtId="49" fontId="2" fillId="0" borderId="6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Fill="1" applyAlignment="1" applyProtection="1">
      <alignment horizontal="left"/>
      <protection locked="0"/>
    </xf>
    <xf numFmtId="0" fontId="7" fillId="0" borderId="0" xfId="0" applyFont="1" applyFill="1" applyAlignment="1" applyProtection="1">
      <alignment horizontal="center"/>
      <protection locked="0"/>
    </xf>
    <xf numFmtId="0" fontId="11" fillId="0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A907-D0D9-4BBD-BDDE-31AC5B070AC7}">
  <dimension ref="A1:S67"/>
  <sheetViews>
    <sheetView tabSelected="1" workbookViewId="0">
      <pane ySplit="8" topLeftCell="A9" activePane="bottomLeft" state="frozenSplit"/>
      <selection pane="bottomLeft" activeCell="H15" sqref="H15"/>
    </sheetView>
  </sheetViews>
  <sheetFormatPr defaultColWidth="9.1796875" defaultRowHeight="12.75" customHeight="1" x14ac:dyDescent="0.35"/>
  <cols>
    <col min="1" max="2" width="8.7265625" style="14" customWidth="1"/>
    <col min="3" max="6" width="8" style="14" customWidth="1"/>
    <col min="7" max="18" width="6.7265625" style="14" customWidth="1"/>
    <col min="19" max="19" width="9.26953125" style="14" customWidth="1"/>
    <col min="20" max="16384" width="9.1796875" style="15"/>
  </cols>
  <sheetData>
    <row r="1" spans="1:19" ht="16.149999999999999" customHeight="1" x14ac:dyDescent="0.35">
      <c r="A1" s="65" t="s">
        <v>64</v>
      </c>
      <c r="B1" s="65"/>
      <c r="C1" s="65"/>
      <c r="D1" s="65"/>
    </row>
    <row r="2" spans="1:19" ht="16.149999999999999" customHeight="1" x14ac:dyDescent="0.35">
      <c r="A2" s="65" t="s">
        <v>68</v>
      </c>
      <c r="B2" s="65"/>
      <c r="C2" s="65"/>
      <c r="D2" s="65"/>
    </row>
    <row r="3" spans="1:19" ht="12.75" customHeight="1" x14ac:dyDescent="0.35">
      <c r="P3" s="66" t="s">
        <v>0</v>
      </c>
      <c r="Q3" s="66"/>
      <c r="R3" s="66"/>
      <c r="S3" s="66"/>
    </row>
    <row r="4" spans="1:19" ht="16.899999999999999" customHeight="1" x14ac:dyDescent="0.4">
      <c r="A4" s="67" t="s">
        <v>1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.65" customHeight="1" x14ac:dyDescent="0.35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spans="1:19" ht="16.5" customHeight="1" x14ac:dyDescent="0.35">
      <c r="A6" s="53" t="s">
        <v>2</v>
      </c>
      <c r="B6" s="53" t="s">
        <v>3</v>
      </c>
      <c r="C6" s="58" t="s">
        <v>4</v>
      </c>
      <c r="D6" s="58"/>
      <c r="E6" s="58"/>
      <c r="F6" s="58"/>
      <c r="G6" s="58" t="s">
        <v>5</v>
      </c>
      <c r="H6" s="58"/>
      <c r="I6" s="58"/>
      <c r="J6" s="58"/>
      <c r="K6" s="58"/>
      <c r="L6" s="58"/>
      <c r="M6" s="58"/>
      <c r="N6" s="58"/>
      <c r="O6" s="53" t="s">
        <v>6</v>
      </c>
      <c r="P6" s="53"/>
      <c r="Q6" s="53"/>
      <c r="R6" s="53"/>
      <c r="S6" s="58" t="s">
        <v>7</v>
      </c>
    </row>
    <row r="7" spans="1:19" ht="16.5" customHeight="1" x14ac:dyDescent="0.35">
      <c r="A7" s="53"/>
      <c r="B7" s="53"/>
      <c r="C7" s="58"/>
      <c r="D7" s="58"/>
      <c r="E7" s="58"/>
      <c r="F7" s="58"/>
      <c r="G7" s="58" t="s">
        <v>8</v>
      </c>
      <c r="H7" s="58"/>
      <c r="I7" s="58"/>
      <c r="J7" s="58"/>
      <c r="K7" s="58" t="s">
        <v>9</v>
      </c>
      <c r="L7" s="58"/>
      <c r="M7" s="58"/>
      <c r="N7" s="58"/>
      <c r="O7" s="53"/>
      <c r="P7" s="53"/>
      <c r="Q7" s="53"/>
      <c r="R7" s="53"/>
      <c r="S7" s="58"/>
    </row>
    <row r="8" spans="1:19" s="17" customFormat="1" ht="22.5" customHeight="1" x14ac:dyDescent="0.25">
      <c r="A8" s="53"/>
      <c r="B8" s="53"/>
      <c r="C8" s="16" t="s">
        <v>10</v>
      </c>
      <c r="D8" s="16" t="s">
        <v>11</v>
      </c>
      <c r="E8" s="16" t="s">
        <v>12</v>
      </c>
      <c r="F8" s="16" t="s">
        <v>13</v>
      </c>
      <c r="G8" s="16" t="s">
        <v>10</v>
      </c>
      <c r="H8" s="16" t="s">
        <v>11</v>
      </c>
      <c r="I8" s="16" t="s">
        <v>12</v>
      </c>
      <c r="J8" s="16" t="s">
        <v>13</v>
      </c>
      <c r="K8" s="16" t="s">
        <v>10</v>
      </c>
      <c r="L8" s="16" t="s">
        <v>11</v>
      </c>
      <c r="M8" s="16" t="s">
        <v>12</v>
      </c>
      <c r="N8" s="16" t="s">
        <v>13</v>
      </c>
      <c r="O8" s="16" t="s">
        <v>10</v>
      </c>
      <c r="P8" s="16" t="s">
        <v>11</v>
      </c>
      <c r="Q8" s="16" t="s">
        <v>12</v>
      </c>
      <c r="R8" s="16" t="s">
        <v>13</v>
      </c>
      <c r="S8" s="58"/>
    </row>
    <row r="9" spans="1:19" ht="14.5" customHeight="1" x14ac:dyDescent="0.35">
      <c r="A9" s="5" t="s">
        <v>14</v>
      </c>
      <c r="B9" s="8">
        <v>2010</v>
      </c>
      <c r="C9" s="40">
        <v>1223</v>
      </c>
      <c r="D9" s="43">
        <v>535</v>
      </c>
      <c r="E9" s="46">
        <v>1</v>
      </c>
      <c r="F9" s="19"/>
      <c r="G9" s="18"/>
      <c r="H9" s="19"/>
      <c r="I9" s="19"/>
      <c r="J9" s="19"/>
      <c r="K9" s="20"/>
      <c r="L9" s="20"/>
      <c r="M9" s="20"/>
      <c r="N9" s="20"/>
      <c r="O9" s="40">
        <v>1223</v>
      </c>
      <c r="P9" s="43">
        <v>535</v>
      </c>
      <c r="Q9" s="46">
        <v>1</v>
      </c>
      <c r="R9" s="19"/>
      <c r="S9" s="11">
        <f>O9/C9%</f>
        <v>100</v>
      </c>
    </row>
    <row r="10" spans="1:19" ht="14.5" customHeight="1" x14ac:dyDescent="0.35">
      <c r="A10" s="1" t="s">
        <v>15</v>
      </c>
      <c r="B10" s="8">
        <v>2009</v>
      </c>
      <c r="C10" s="41">
        <v>1749</v>
      </c>
      <c r="D10" s="44">
        <v>797</v>
      </c>
      <c r="E10" s="47">
        <v>0</v>
      </c>
      <c r="F10" s="22"/>
      <c r="G10" s="21"/>
      <c r="H10" s="22"/>
      <c r="I10" s="22"/>
      <c r="J10" s="22"/>
      <c r="K10" s="23"/>
      <c r="L10" s="23"/>
      <c r="M10" s="23"/>
      <c r="N10" s="23"/>
      <c r="O10" s="41">
        <v>1749</v>
      </c>
      <c r="P10" s="44">
        <v>797</v>
      </c>
      <c r="Q10" s="47">
        <v>0</v>
      </c>
      <c r="R10" s="22"/>
      <c r="S10" s="11">
        <f t="shared" ref="S10:S57" si="0">O10/C10%</f>
        <v>100.00000000000001</v>
      </c>
    </row>
    <row r="11" spans="1:19" ht="14.5" customHeight="1" x14ac:dyDescent="0.35">
      <c r="A11" s="1" t="s">
        <v>16</v>
      </c>
      <c r="B11" s="2">
        <v>2008</v>
      </c>
      <c r="C11" s="41">
        <v>1459</v>
      </c>
      <c r="D11" s="44">
        <v>628</v>
      </c>
      <c r="E11" s="47">
        <v>2</v>
      </c>
      <c r="F11" s="22"/>
      <c r="G11" s="21"/>
      <c r="H11" s="22"/>
      <c r="I11" s="22"/>
      <c r="J11" s="22"/>
      <c r="K11" s="23"/>
      <c r="L11" s="23"/>
      <c r="M11" s="23"/>
      <c r="N11" s="23"/>
      <c r="O11" s="41">
        <v>1459</v>
      </c>
      <c r="P11" s="44">
        <v>628</v>
      </c>
      <c r="Q11" s="47">
        <v>2</v>
      </c>
      <c r="R11" s="22"/>
      <c r="S11" s="11">
        <f t="shared" si="0"/>
        <v>100</v>
      </c>
    </row>
    <row r="12" spans="1:19" ht="14.5" customHeight="1" x14ac:dyDescent="0.35">
      <c r="A12" s="1" t="s">
        <v>17</v>
      </c>
      <c r="B12" s="2">
        <v>2007</v>
      </c>
      <c r="C12" s="41">
        <v>1466</v>
      </c>
      <c r="D12" s="44">
        <v>632</v>
      </c>
      <c r="E12" s="47">
        <v>1</v>
      </c>
      <c r="F12" s="22"/>
      <c r="G12" s="21"/>
      <c r="H12" s="22"/>
      <c r="I12" s="22"/>
      <c r="J12" s="22"/>
      <c r="K12" s="23"/>
      <c r="L12" s="23"/>
      <c r="M12" s="23"/>
      <c r="N12" s="23"/>
      <c r="O12" s="41">
        <v>1466</v>
      </c>
      <c r="P12" s="44">
        <v>632</v>
      </c>
      <c r="Q12" s="47">
        <v>1</v>
      </c>
      <c r="R12" s="22"/>
      <c r="S12" s="11">
        <f t="shared" si="0"/>
        <v>100</v>
      </c>
    </row>
    <row r="13" spans="1:19" ht="14.5" customHeight="1" x14ac:dyDescent="0.35">
      <c r="A13" s="1" t="s">
        <v>18</v>
      </c>
      <c r="B13" s="2">
        <v>2006</v>
      </c>
      <c r="C13" s="41">
        <v>1217</v>
      </c>
      <c r="D13" s="44">
        <v>522</v>
      </c>
      <c r="E13" s="47">
        <v>0</v>
      </c>
      <c r="F13" s="22"/>
      <c r="G13" s="21"/>
      <c r="H13" s="22"/>
      <c r="I13" s="22"/>
      <c r="J13" s="22"/>
      <c r="K13" s="23"/>
      <c r="L13" s="23"/>
      <c r="M13" s="23"/>
      <c r="N13" s="23"/>
      <c r="O13" s="41">
        <v>1217</v>
      </c>
      <c r="P13" s="44">
        <v>522</v>
      </c>
      <c r="Q13" s="47">
        <v>0</v>
      </c>
      <c r="R13" s="22"/>
      <c r="S13" s="11">
        <f t="shared" si="0"/>
        <v>100</v>
      </c>
    </row>
    <row r="14" spans="1:19" ht="14.5" customHeight="1" x14ac:dyDescent="0.35">
      <c r="A14" s="1" t="s">
        <v>19</v>
      </c>
      <c r="B14" s="2">
        <v>2005</v>
      </c>
      <c r="C14" s="41">
        <v>1202</v>
      </c>
      <c r="D14" s="44">
        <v>568</v>
      </c>
      <c r="E14" s="47">
        <v>0</v>
      </c>
      <c r="F14" s="22"/>
      <c r="G14" s="21"/>
      <c r="H14" s="22"/>
      <c r="I14" s="22"/>
      <c r="J14" s="22"/>
      <c r="K14" s="23"/>
      <c r="L14" s="23"/>
      <c r="M14" s="23"/>
      <c r="N14" s="23"/>
      <c r="O14" s="41">
        <v>1202</v>
      </c>
      <c r="P14" s="44">
        <v>568</v>
      </c>
      <c r="Q14" s="47">
        <v>0</v>
      </c>
      <c r="R14" s="22"/>
      <c r="S14" s="11">
        <f t="shared" si="0"/>
        <v>100</v>
      </c>
    </row>
    <row r="15" spans="1:19" ht="14.5" customHeight="1" x14ac:dyDescent="0.35">
      <c r="A15" s="1" t="s">
        <v>20</v>
      </c>
      <c r="B15" s="2">
        <v>2004</v>
      </c>
      <c r="C15" s="41">
        <v>1074</v>
      </c>
      <c r="D15" s="44">
        <v>482</v>
      </c>
      <c r="E15" s="47">
        <v>0</v>
      </c>
      <c r="F15" s="22"/>
      <c r="G15" s="21"/>
      <c r="H15" s="22"/>
      <c r="I15" s="22"/>
      <c r="J15" s="22"/>
      <c r="K15" s="23"/>
      <c r="L15" s="23"/>
      <c r="M15" s="23"/>
      <c r="N15" s="23"/>
      <c r="O15" s="41">
        <v>1074</v>
      </c>
      <c r="P15" s="44">
        <v>482</v>
      </c>
      <c r="Q15" s="47">
        <v>0</v>
      </c>
      <c r="R15" s="22"/>
      <c r="S15" s="11">
        <f t="shared" si="0"/>
        <v>100</v>
      </c>
    </row>
    <row r="16" spans="1:19" ht="14.5" customHeight="1" x14ac:dyDescent="0.35">
      <c r="A16" s="1" t="s">
        <v>21</v>
      </c>
      <c r="B16" s="2">
        <v>2003</v>
      </c>
      <c r="C16" s="41">
        <v>1217</v>
      </c>
      <c r="D16" s="44">
        <v>534</v>
      </c>
      <c r="E16" s="47">
        <v>2</v>
      </c>
      <c r="F16" s="22"/>
      <c r="G16" s="21"/>
      <c r="H16" s="22"/>
      <c r="I16" s="22"/>
      <c r="J16" s="22"/>
      <c r="K16" s="23"/>
      <c r="L16" s="23"/>
      <c r="M16" s="23"/>
      <c r="N16" s="23"/>
      <c r="O16" s="41">
        <v>1217</v>
      </c>
      <c r="P16" s="44">
        <v>534</v>
      </c>
      <c r="Q16" s="47">
        <v>2</v>
      </c>
      <c r="R16" s="22"/>
      <c r="S16" s="11">
        <f t="shared" si="0"/>
        <v>100</v>
      </c>
    </row>
    <row r="17" spans="1:19" ht="14.5" customHeight="1" x14ac:dyDescent="0.35">
      <c r="A17" s="1" t="s">
        <v>22</v>
      </c>
      <c r="B17" s="2">
        <v>2002</v>
      </c>
      <c r="C17" s="41">
        <v>885</v>
      </c>
      <c r="D17" s="44">
        <v>419</v>
      </c>
      <c r="E17" s="47">
        <v>2</v>
      </c>
      <c r="F17" s="22"/>
      <c r="G17" s="21"/>
      <c r="H17" s="22"/>
      <c r="I17" s="22"/>
      <c r="J17" s="22"/>
      <c r="K17" s="23"/>
      <c r="L17" s="23"/>
      <c r="M17" s="23"/>
      <c r="N17" s="23"/>
      <c r="O17" s="41">
        <v>885</v>
      </c>
      <c r="P17" s="44">
        <v>419</v>
      </c>
      <c r="Q17" s="47">
        <v>2</v>
      </c>
      <c r="R17" s="22"/>
      <c r="S17" s="11">
        <f t="shared" si="0"/>
        <v>100</v>
      </c>
    </row>
    <row r="18" spans="1:19" ht="14.5" customHeight="1" x14ac:dyDescent="0.35">
      <c r="A18" s="1" t="s">
        <v>23</v>
      </c>
      <c r="B18" s="2">
        <v>2001</v>
      </c>
      <c r="C18" s="41">
        <v>993</v>
      </c>
      <c r="D18" s="44">
        <v>491</v>
      </c>
      <c r="E18" s="47">
        <v>2</v>
      </c>
      <c r="F18" s="22"/>
      <c r="G18" s="21"/>
      <c r="H18" s="22"/>
      <c r="I18" s="22"/>
      <c r="J18" s="22"/>
      <c r="K18" s="23"/>
      <c r="L18" s="23"/>
      <c r="M18" s="23"/>
      <c r="N18" s="23"/>
      <c r="O18" s="41">
        <v>993</v>
      </c>
      <c r="P18" s="44">
        <v>491</v>
      </c>
      <c r="Q18" s="47">
        <v>2</v>
      </c>
      <c r="R18" s="22"/>
      <c r="S18" s="11">
        <f t="shared" si="0"/>
        <v>100</v>
      </c>
    </row>
    <row r="19" spans="1:19" ht="14.5" customHeight="1" x14ac:dyDescent="0.35">
      <c r="A19" s="3" t="s">
        <v>24</v>
      </c>
      <c r="B19" s="4">
        <v>2000</v>
      </c>
      <c r="C19" s="42">
        <v>997</v>
      </c>
      <c r="D19" s="45">
        <v>519</v>
      </c>
      <c r="E19" s="48">
        <v>1</v>
      </c>
      <c r="F19" s="25"/>
      <c r="G19" s="24"/>
      <c r="H19" s="25"/>
      <c r="I19" s="25"/>
      <c r="J19" s="25"/>
      <c r="K19" s="26"/>
      <c r="L19" s="26"/>
      <c r="M19" s="26"/>
      <c r="N19" s="26"/>
      <c r="O19" s="42">
        <v>997</v>
      </c>
      <c r="P19" s="45">
        <v>519</v>
      </c>
      <c r="Q19" s="48">
        <v>1</v>
      </c>
      <c r="R19" s="25"/>
      <c r="S19" s="12">
        <f t="shared" si="0"/>
        <v>100</v>
      </c>
    </row>
    <row r="20" spans="1:19" ht="14.5" customHeight="1" x14ac:dyDescent="0.35">
      <c r="A20" s="59" t="s">
        <v>25</v>
      </c>
      <c r="B20" s="60"/>
      <c r="C20" s="10">
        <f>SUM(C9:C19)</f>
        <v>13482</v>
      </c>
      <c r="D20" s="10">
        <f t="shared" ref="D20:R20" si="1">SUM(D9:D19)</f>
        <v>6127</v>
      </c>
      <c r="E20" s="10">
        <f t="shared" si="1"/>
        <v>11</v>
      </c>
      <c r="F20" s="10">
        <f t="shared" si="1"/>
        <v>0</v>
      </c>
      <c r="G20" s="10">
        <f t="shared" si="1"/>
        <v>0</v>
      </c>
      <c r="H20" s="10">
        <f t="shared" si="1"/>
        <v>0</v>
      </c>
      <c r="I20" s="10">
        <f t="shared" si="1"/>
        <v>0</v>
      </c>
      <c r="J20" s="10">
        <f t="shared" si="1"/>
        <v>0</v>
      </c>
      <c r="K20" s="10">
        <f t="shared" si="1"/>
        <v>0</v>
      </c>
      <c r="L20" s="10">
        <f t="shared" si="1"/>
        <v>0</v>
      </c>
      <c r="M20" s="10">
        <f t="shared" si="1"/>
        <v>0</v>
      </c>
      <c r="N20" s="10">
        <f t="shared" si="1"/>
        <v>0</v>
      </c>
      <c r="O20" s="10">
        <f t="shared" si="1"/>
        <v>13482</v>
      </c>
      <c r="P20" s="10">
        <f t="shared" si="1"/>
        <v>6127</v>
      </c>
      <c r="Q20" s="10">
        <f t="shared" si="1"/>
        <v>11</v>
      </c>
      <c r="R20" s="10">
        <f t="shared" si="1"/>
        <v>0</v>
      </c>
      <c r="S20" s="13">
        <f t="shared" si="0"/>
        <v>100</v>
      </c>
    </row>
    <row r="21" spans="1:19" ht="14.5" customHeight="1" x14ac:dyDescent="0.35">
      <c r="A21" s="5" t="s">
        <v>26</v>
      </c>
      <c r="B21" s="6">
        <v>1999</v>
      </c>
      <c r="C21" s="40">
        <v>962</v>
      </c>
      <c r="D21" s="43">
        <v>490</v>
      </c>
      <c r="E21" s="46">
        <v>0</v>
      </c>
      <c r="F21" s="28"/>
      <c r="G21" s="27"/>
      <c r="H21" s="28"/>
      <c r="I21" s="28"/>
      <c r="J21" s="28"/>
      <c r="K21" s="29"/>
      <c r="L21" s="29"/>
      <c r="M21" s="29"/>
      <c r="N21" s="29"/>
      <c r="O21" s="40">
        <v>962</v>
      </c>
      <c r="P21" s="43">
        <v>490</v>
      </c>
      <c r="Q21" s="46">
        <v>0</v>
      </c>
      <c r="R21" s="28"/>
      <c r="S21" s="11">
        <f t="shared" si="0"/>
        <v>100.00000000000001</v>
      </c>
    </row>
    <row r="22" spans="1:19" ht="14.5" customHeight="1" x14ac:dyDescent="0.35">
      <c r="A22" s="1" t="s">
        <v>27</v>
      </c>
      <c r="B22" s="6">
        <v>1998</v>
      </c>
      <c r="C22" s="41">
        <v>1054</v>
      </c>
      <c r="D22" s="44">
        <v>527</v>
      </c>
      <c r="E22" s="47">
        <v>1</v>
      </c>
      <c r="F22" s="31"/>
      <c r="G22" s="30"/>
      <c r="H22" s="31"/>
      <c r="I22" s="31"/>
      <c r="J22" s="31"/>
      <c r="K22" s="32"/>
      <c r="L22" s="32"/>
      <c r="M22" s="32"/>
      <c r="N22" s="32"/>
      <c r="O22" s="41">
        <v>1054</v>
      </c>
      <c r="P22" s="44">
        <v>527</v>
      </c>
      <c r="Q22" s="47">
        <v>1</v>
      </c>
      <c r="R22" s="31"/>
      <c r="S22" s="11">
        <f t="shared" si="0"/>
        <v>100.00000000000001</v>
      </c>
    </row>
    <row r="23" spans="1:19" ht="14.5" customHeight="1" x14ac:dyDescent="0.35">
      <c r="A23" s="1" t="s">
        <v>28</v>
      </c>
      <c r="B23" s="7">
        <v>1997</v>
      </c>
      <c r="C23" s="41">
        <v>1213</v>
      </c>
      <c r="D23" s="44">
        <v>635</v>
      </c>
      <c r="E23" s="47">
        <v>0</v>
      </c>
      <c r="F23" s="31"/>
      <c r="G23" s="30"/>
      <c r="H23" s="31"/>
      <c r="I23" s="31"/>
      <c r="J23" s="31"/>
      <c r="K23" s="32"/>
      <c r="L23" s="32"/>
      <c r="M23" s="32"/>
      <c r="N23" s="32"/>
      <c r="O23" s="41">
        <v>1213</v>
      </c>
      <c r="P23" s="44">
        <v>635</v>
      </c>
      <c r="Q23" s="47">
        <v>0</v>
      </c>
      <c r="R23" s="31"/>
      <c r="S23" s="11">
        <f t="shared" si="0"/>
        <v>100</v>
      </c>
    </row>
    <row r="24" spans="1:19" ht="14.5" customHeight="1" x14ac:dyDescent="0.35">
      <c r="A24" s="1" t="s">
        <v>29</v>
      </c>
      <c r="B24" s="7">
        <v>1996</v>
      </c>
      <c r="C24" s="41">
        <v>1347</v>
      </c>
      <c r="D24" s="44">
        <v>713</v>
      </c>
      <c r="E24" s="47">
        <v>3</v>
      </c>
      <c r="F24" s="31"/>
      <c r="G24" s="30"/>
      <c r="H24" s="31"/>
      <c r="I24" s="31"/>
      <c r="J24" s="31"/>
      <c r="K24" s="32"/>
      <c r="L24" s="32"/>
      <c r="M24" s="32"/>
      <c r="N24" s="32"/>
      <c r="O24" s="41">
        <v>1347</v>
      </c>
      <c r="P24" s="44">
        <v>713</v>
      </c>
      <c r="Q24" s="47">
        <v>3</v>
      </c>
      <c r="R24" s="31"/>
      <c r="S24" s="11">
        <f t="shared" si="0"/>
        <v>100</v>
      </c>
    </row>
    <row r="25" spans="1:19" ht="14.5" customHeight="1" x14ac:dyDescent="0.35">
      <c r="A25" s="1" t="s">
        <v>30</v>
      </c>
      <c r="B25" s="7">
        <v>1995</v>
      </c>
      <c r="C25" s="41">
        <v>1681</v>
      </c>
      <c r="D25" s="44">
        <v>888</v>
      </c>
      <c r="E25" s="47">
        <v>2</v>
      </c>
      <c r="F25" s="31"/>
      <c r="G25" s="30"/>
      <c r="H25" s="31"/>
      <c r="I25" s="31"/>
      <c r="J25" s="31"/>
      <c r="K25" s="32"/>
      <c r="L25" s="32"/>
      <c r="M25" s="32"/>
      <c r="N25" s="32"/>
      <c r="O25" s="41">
        <v>1681</v>
      </c>
      <c r="P25" s="44">
        <v>888</v>
      </c>
      <c r="Q25" s="47">
        <v>2</v>
      </c>
      <c r="R25" s="31"/>
      <c r="S25" s="11">
        <f t="shared" si="0"/>
        <v>100.00000000000001</v>
      </c>
    </row>
    <row r="26" spans="1:19" ht="14.5" customHeight="1" x14ac:dyDescent="0.35">
      <c r="A26" s="1" t="s">
        <v>31</v>
      </c>
      <c r="B26" s="7">
        <v>1994</v>
      </c>
      <c r="C26" s="41">
        <v>1645</v>
      </c>
      <c r="D26" s="44">
        <v>827</v>
      </c>
      <c r="E26" s="47">
        <v>1</v>
      </c>
      <c r="F26" s="31"/>
      <c r="G26" s="30"/>
      <c r="H26" s="31"/>
      <c r="I26" s="31"/>
      <c r="J26" s="31"/>
      <c r="K26" s="32"/>
      <c r="L26" s="32"/>
      <c r="M26" s="32"/>
      <c r="N26" s="32"/>
      <c r="O26" s="41">
        <v>1645</v>
      </c>
      <c r="P26" s="44">
        <v>827</v>
      </c>
      <c r="Q26" s="47">
        <v>1</v>
      </c>
      <c r="R26" s="31"/>
      <c r="S26" s="11">
        <f t="shared" si="0"/>
        <v>100</v>
      </c>
    </row>
    <row r="27" spans="1:19" ht="14.5" customHeight="1" x14ac:dyDescent="0.35">
      <c r="A27" s="1" t="s">
        <v>32</v>
      </c>
      <c r="B27" s="7">
        <v>1993</v>
      </c>
      <c r="C27" s="41">
        <v>2056</v>
      </c>
      <c r="D27" s="44">
        <v>1100</v>
      </c>
      <c r="E27" s="47">
        <v>4</v>
      </c>
      <c r="F27" s="31"/>
      <c r="G27" s="30"/>
      <c r="H27" s="31"/>
      <c r="I27" s="31"/>
      <c r="J27" s="31"/>
      <c r="K27" s="32"/>
      <c r="L27" s="32"/>
      <c r="M27" s="32"/>
      <c r="N27" s="32"/>
      <c r="O27" s="41">
        <v>2056</v>
      </c>
      <c r="P27" s="44">
        <v>1100</v>
      </c>
      <c r="Q27" s="47">
        <v>4</v>
      </c>
      <c r="R27" s="31"/>
      <c r="S27" s="11">
        <f t="shared" si="0"/>
        <v>100</v>
      </c>
    </row>
    <row r="28" spans="1:19" ht="14.5" customHeight="1" x14ac:dyDescent="0.35">
      <c r="A28" s="1" t="s">
        <v>33</v>
      </c>
      <c r="B28" s="7">
        <v>1992</v>
      </c>
      <c r="C28" s="41">
        <v>2101</v>
      </c>
      <c r="D28" s="44">
        <v>1099</v>
      </c>
      <c r="E28" s="47">
        <v>1</v>
      </c>
      <c r="F28" s="31"/>
      <c r="G28" s="30"/>
      <c r="H28" s="31"/>
      <c r="I28" s="31"/>
      <c r="J28" s="31"/>
      <c r="K28" s="32"/>
      <c r="L28" s="32"/>
      <c r="M28" s="32"/>
      <c r="N28" s="32"/>
      <c r="O28" s="41">
        <v>2101</v>
      </c>
      <c r="P28" s="44">
        <v>1099</v>
      </c>
      <c r="Q28" s="47">
        <v>1</v>
      </c>
      <c r="R28" s="31"/>
      <c r="S28" s="11">
        <f t="shared" si="0"/>
        <v>99.999999999999986</v>
      </c>
    </row>
    <row r="29" spans="1:19" ht="14.5" customHeight="1" x14ac:dyDescent="0.35">
      <c r="A29" s="1" t="s">
        <v>34</v>
      </c>
      <c r="B29" s="7">
        <v>1991</v>
      </c>
      <c r="C29" s="41">
        <v>2255</v>
      </c>
      <c r="D29" s="44">
        <v>1165</v>
      </c>
      <c r="E29" s="47">
        <v>1</v>
      </c>
      <c r="F29" s="31"/>
      <c r="G29" s="30"/>
      <c r="H29" s="31"/>
      <c r="I29" s="31"/>
      <c r="J29" s="31"/>
      <c r="K29" s="32"/>
      <c r="L29" s="32"/>
      <c r="M29" s="32"/>
      <c r="N29" s="32"/>
      <c r="O29" s="41">
        <v>2255</v>
      </c>
      <c r="P29" s="44">
        <v>1165</v>
      </c>
      <c r="Q29" s="47">
        <v>1</v>
      </c>
      <c r="R29" s="31"/>
      <c r="S29" s="11">
        <f t="shared" si="0"/>
        <v>100</v>
      </c>
    </row>
    <row r="30" spans="1:19" ht="14.5" customHeight="1" x14ac:dyDescent="0.35">
      <c r="A30" s="3" t="s">
        <v>35</v>
      </c>
      <c r="B30" s="9">
        <v>1990</v>
      </c>
      <c r="C30" s="49">
        <v>2167</v>
      </c>
      <c r="D30" s="50">
        <v>1100</v>
      </c>
      <c r="E30" s="51">
        <v>0</v>
      </c>
      <c r="F30" s="34"/>
      <c r="G30" s="33"/>
      <c r="H30" s="34"/>
      <c r="I30" s="34"/>
      <c r="J30" s="34"/>
      <c r="K30" s="35"/>
      <c r="L30" s="35"/>
      <c r="M30" s="35"/>
      <c r="N30" s="35"/>
      <c r="O30" s="49">
        <v>2167</v>
      </c>
      <c r="P30" s="50">
        <v>1100</v>
      </c>
      <c r="Q30" s="51">
        <v>0</v>
      </c>
      <c r="R30" s="34"/>
      <c r="S30" s="12">
        <f t="shared" si="0"/>
        <v>99.999999999999986</v>
      </c>
    </row>
    <row r="31" spans="1:19" ht="14.5" customHeight="1" x14ac:dyDescent="0.35">
      <c r="A31" s="61" t="s">
        <v>36</v>
      </c>
      <c r="B31" s="62"/>
      <c r="C31" s="10">
        <f>SUM(C9:C19)+SUM(C21:C30)</f>
        <v>29963</v>
      </c>
      <c r="D31" s="10">
        <f t="shared" ref="D31:R31" si="2">SUM(D9:D19)+SUM(D21:D30)</f>
        <v>14671</v>
      </c>
      <c r="E31" s="10">
        <f t="shared" si="2"/>
        <v>24</v>
      </c>
      <c r="F31" s="10">
        <f t="shared" si="2"/>
        <v>0</v>
      </c>
      <c r="G31" s="10">
        <f t="shared" si="2"/>
        <v>0</v>
      </c>
      <c r="H31" s="10">
        <f t="shared" si="2"/>
        <v>0</v>
      </c>
      <c r="I31" s="10">
        <f t="shared" si="2"/>
        <v>0</v>
      </c>
      <c r="J31" s="10">
        <f t="shared" si="2"/>
        <v>0</v>
      </c>
      <c r="K31" s="10">
        <f t="shared" si="2"/>
        <v>0</v>
      </c>
      <c r="L31" s="10">
        <f t="shared" si="2"/>
        <v>0</v>
      </c>
      <c r="M31" s="10">
        <f t="shared" si="2"/>
        <v>0</v>
      </c>
      <c r="N31" s="10">
        <f t="shared" si="2"/>
        <v>0</v>
      </c>
      <c r="O31" s="10">
        <f t="shared" si="2"/>
        <v>29963</v>
      </c>
      <c r="P31" s="10">
        <f t="shared" si="2"/>
        <v>14671</v>
      </c>
      <c r="Q31" s="10">
        <f t="shared" si="2"/>
        <v>24</v>
      </c>
      <c r="R31" s="10">
        <f t="shared" si="2"/>
        <v>0</v>
      </c>
      <c r="S31" s="13">
        <f t="shared" si="0"/>
        <v>100</v>
      </c>
    </row>
    <row r="32" spans="1:19" ht="14.5" customHeight="1" x14ac:dyDescent="0.35">
      <c r="A32" s="5" t="s">
        <v>37</v>
      </c>
      <c r="B32" s="6">
        <v>1989</v>
      </c>
      <c r="C32" s="40">
        <v>2109</v>
      </c>
      <c r="D32" s="43">
        <v>1093</v>
      </c>
      <c r="E32" s="46">
        <v>1</v>
      </c>
      <c r="F32" s="28"/>
      <c r="G32" s="27"/>
      <c r="H32" s="28"/>
      <c r="I32" s="28"/>
      <c r="J32" s="28"/>
      <c r="K32" s="29"/>
      <c r="L32" s="29"/>
      <c r="M32" s="29"/>
      <c r="N32" s="29"/>
      <c r="O32" s="40">
        <v>2109</v>
      </c>
      <c r="P32" s="43">
        <v>1093</v>
      </c>
      <c r="Q32" s="46">
        <v>1</v>
      </c>
      <c r="R32" s="28"/>
      <c r="S32" s="11">
        <f t="shared" si="0"/>
        <v>100</v>
      </c>
    </row>
    <row r="33" spans="1:19" ht="14.5" customHeight="1" x14ac:dyDescent="0.35">
      <c r="A33" s="1" t="s">
        <v>38</v>
      </c>
      <c r="B33" s="7">
        <v>1988</v>
      </c>
      <c r="C33" s="41">
        <v>2129</v>
      </c>
      <c r="D33" s="44">
        <v>1055</v>
      </c>
      <c r="E33" s="47">
        <v>1</v>
      </c>
      <c r="F33" s="31"/>
      <c r="G33" s="30"/>
      <c r="H33" s="31"/>
      <c r="I33" s="31"/>
      <c r="J33" s="31"/>
      <c r="K33" s="32"/>
      <c r="L33" s="32"/>
      <c r="M33" s="32"/>
      <c r="N33" s="32"/>
      <c r="O33" s="41">
        <v>2129</v>
      </c>
      <c r="P33" s="44">
        <v>1055</v>
      </c>
      <c r="Q33" s="47">
        <v>1</v>
      </c>
      <c r="R33" s="31"/>
      <c r="S33" s="11">
        <f t="shared" si="0"/>
        <v>100</v>
      </c>
    </row>
    <row r="34" spans="1:19" ht="14.5" customHeight="1" x14ac:dyDescent="0.35">
      <c r="A34" s="1" t="s">
        <v>39</v>
      </c>
      <c r="B34" s="7">
        <v>1987</v>
      </c>
      <c r="C34" s="41">
        <v>2091</v>
      </c>
      <c r="D34" s="44">
        <v>967</v>
      </c>
      <c r="E34" s="47">
        <v>2</v>
      </c>
      <c r="F34" s="31"/>
      <c r="G34" s="30"/>
      <c r="H34" s="31"/>
      <c r="I34" s="31"/>
      <c r="J34" s="31"/>
      <c r="K34" s="32"/>
      <c r="L34" s="32"/>
      <c r="M34" s="32"/>
      <c r="N34" s="32"/>
      <c r="O34" s="41">
        <v>2091</v>
      </c>
      <c r="P34" s="44">
        <v>967</v>
      </c>
      <c r="Q34" s="47">
        <v>2</v>
      </c>
      <c r="R34" s="31"/>
      <c r="S34" s="11">
        <f t="shared" si="0"/>
        <v>100</v>
      </c>
    </row>
    <row r="35" spans="1:19" ht="14.5" customHeight="1" x14ac:dyDescent="0.35">
      <c r="A35" s="1" t="s">
        <v>40</v>
      </c>
      <c r="B35" s="7">
        <v>1986</v>
      </c>
      <c r="C35" s="41">
        <v>1944</v>
      </c>
      <c r="D35" s="44">
        <v>907</v>
      </c>
      <c r="E35" s="47">
        <v>2</v>
      </c>
      <c r="F35" s="31"/>
      <c r="G35" s="30"/>
      <c r="H35" s="31"/>
      <c r="I35" s="31"/>
      <c r="J35" s="31"/>
      <c r="K35" s="32"/>
      <c r="L35" s="32"/>
      <c r="M35" s="32"/>
      <c r="N35" s="32"/>
      <c r="O35" s="41">
        <v>1944</v>
      </c>
      <c r="P35" s="44">
        <v>907</v>
      </c>
      <c r="Q35" s="47">
        <v>2</v>
      </c>
      <c r="R35" s="31"/>
      <c r="S35" s="11">
        <f t="shared" si="0"/>
        <v>100</v>
      </c>
    </row>
    <row r="36" spans="1:19" ht="14.5" customHeight="1" x14ac:dyDescent="0.35">
      <c r="A36" s="1" t="s">
        <v>41</v>
      </c>
      <c r="B36" s="7">
        <v>1985</v>
      </c>
      <c r="C36" s="41">
        <v>2041</v>
      </c>
      <c r="D36" s="44">
        <v>997</v>
      </c>
      <c r="E36" s="47">
        <v>3</v>
      </c>
      <c r="F36" s="31"/>
      <c r="G36" s="30"/>
      <c r="H36" s="31"/>
      <c r="I36" s="31"/>
      <c r="J36" s="31"/>
      <c r="K36" s="32"/>
      <c r="L36" s="32"/>
      <c r="M36" s="32"/>
      <c r="N36" s="32"/>
      <c r="O36" s="41">
        <v>2041</v>
      </c>
      <c r="P36" s="44">
        <v>997</v>
      </c>
      <c r="Q36" s="47">
        <v>3</v>
      </c>
      <c r="R36" s="31"/>
      <c r="S36" s="11">
        <f t="shared" si="0"/>
        <v>100</v>
      </c>
    </row>
    <row r="37" spans="1:19" ht="14.5" customHeight="1" x14ac:dyDescent="0.35">
      <c r="A37" s="1" t="s">
        <v>42</v>
      </c>
      <c r="B37" s="7">
        <v>1984</v>
      </c>
      <c r="C37" s="41">
        <v>2071</v>
      </c>
      <c r="D37" s="44">
        <v>978</v>
      </c>
      <c r="E37" s="47">
        <v>1</v>
      </c>
      <c r="F37" s="31"/>
      <c r="G37" s="30"/>
      <c r="H37" s="31"/>
      <c r="I37" s="31"/>
      <c r="J37" s="31"/>
      <c r="K37" s="32"/>
      <c r="L37" s="32"/>
      <c r="M37" s="32"/>
      <c r="N37" s="32"/>
      <c r="O37" s="41">
        <v>2071</v>
      </c>
      <c r="P37" s="44">
        <v>978</v>
      </c>
      <c r="Q37" s="47">
        <v>1</v>
      </c>
      <c r="R37" s="31"/>
      <c r="S37" s="11">
        <f t="shared" si="0"/>
        <v>100</v>
      </c>
    </row>
    <row r="38" spans="1:19" ht="14.5" customHeight="1" x14ac:dyDescent="0.35">
      <c r="A38" s="1" t="s">
        <v>43</v>
      </c>
      <c r="B38" s="7">
        <v>1983</v>
      </c>
      <c r="C38" s="41">
        <v>2013</v>
      </c>
      <c r="D38" s="44">
        <v>958</v>
      </c>
      <c r="E38" s="47">
        <v>3</v>
      </c>
      <c r="F38" s="31"/>
      <c r="G38" s="30"/>
      <c r="H38" s="31"/>
      <c r="I38" s="31"/>
      <c r="J38" s="31"/>
      <c r="K38" s="32"/>
      <c r="L38" s="32"/>
      <c r="M38" s="32"/>
      <c r="N38" s="32"/>
      <c r="O38" s="41">
        <v>2013</v>
      </c>
      <c r="P38" s="44">
        <v>958</v>
      </c>
      <c r="Q38" s="47">
        <v>3</v>
      </c>
      <c r="R38" s="31"/>
      <c r="S38" s="11">
        <f t="shared" si="0"/>
        <v>100</v>
      </c>
    </row>
    <row r="39" spans="1:19" ht="14.5" customHeight="1" x14ac:dyDescent="0.35">
      <c r="A39" s="1" t="s">
        <v>44</v>
      </c>
      <c r="B39" s="7">
        <v>1982</v>
      </c>
      <c r="C39" s="41">
        <v>1946</v>
      </c>
      <c r="D39" s="44">
        <v>936</v>
      </c>
      <c r="E39" s="47">
        <v>1</v>
      </c>
      <c r="F39" s="31"/>
      <c r="G39" s="30"/>
      <c r="H39" s="31"/>
      <c r="I39" s="31"/>
      <c r="J39" s="31"/>
      <c r="K39" s="32"/>
      <c r="L39" s="32"/>
      <c r="M39" s="32"/>
      <c r="N39" s="32"/>
      <c r="O39" s="41">
        <v>1946</v>
      </c>
      <c r="P39" s="44">
        <v>936</v>
      </c>
      <c r="Q39" s="47">
        <v>1</v>
      </c>
      <c r="R39" s="31"/>
      <c r="S39" s="11">
        <f t="shared" si="0"/>
        <v>100</v>
      </c>
    </row>
    <row r="40" spans="1:19" ht="14.5" customHeight="1" x14ac:dyDescent="0.35">
      <c r="A40" s="1" t="s">
        <v>45</v>
      </c>
      <c r="B40" s="7">
        <v>1981</v>
      </c>
      <c r="C40" s="41">
        <v>1596</v>
      </c>
      <c r="D40" s="44">
        <v>715</v>
      </c>
      <c r="E40" s="47">
        <v>1</v>
      </c>
      <c r="F40" s="31"/>
      <c r="G40" s="30"/>
      <c r="H40" s="31"/>
      <c r="I40" s="31"/>
      <c r="J40" s="31"/>
      <c r="K40" s="32"/>
      <c r="L40" s="32"/>
      <c r="M40" s="32"/>
      <c r="N40" s="32"/>
      <c r="O40" s="41">
        <v>1596</v>
      </c>
      <c r="P40" s="44">
        <v>715</v>
      </c>
      <c r="Q40" s="47">
        <v>1</v>
      </c>
      <c r="R40" s="31"/>
      <c r="S40" s="11">
        <f t="shared" si="0"/>
        <v>100</v>
      </c>
    </row>
    <row r="41" spans="1:19" ht="14.5" customHeight="1" x14ac:dyDescent="0.35">
      <c r="A41" s="1" t="s">
        <v>46</v>
      </c>
      <c r="B41" s="7">
        <v>1980</v>
      </c>
      <c r="C41" s="41">
        <v>1715</v>
      </c>
      <c r="D41" s="44">
        <v>761</v>
      </c>
      <c r="E41" s="47">
        <v>1</v>
      </c>
      <c r="F41" s="31"/>
      <c r="G41" s="30"/>
      <c r="H41" s="31"/>
      <c r="I41" s="31"/>
      <c r="J41" s="31"/>
      <c r="K41" s="32"/>
      <c r="L41" s="32"/>
      <c r="M41" s="32"/>
      <c r="N41" s="32"/>
      <c r="O41" s="41">
        <v>1715</v>
      </c>
      <c r="P41" s="44">
        <v>761</v>
      </c>
      <c r="Q41" s="47">
        <v>1</v>
      </c>
      <c r="R41" s="31"/>
      <c r="S41" s="11">
        <f t="shared" si="0"/>
        <v>100.00000000000001</v>
      </c>
    </row>
    <row r="42" spans="1:19" ht="14.5" customHeight="1" x14ac:dyDescent="0.35">
      <c r="A42" s="1" t="s">
        <v>47</v>
      </c>
      <c r="B42" s="7">
        <v>1979</v>
      </c>
      <c r="C42" s="41">
        <v>1523</v>
      </c>
      <c r="D42" s="44">
        <v>697</v>
      </c>
      <c r="E42" s="47">
        <v>1</v>
      </c>
      <c r="F42" s="31"/>
      <c r="G42" s="30"/>
      <c r="H42" s="31"/>
      <c r="I42" s="31"/>
      <c r="J42" s="31"/>
      <c r="K42" s="32"/>
      <c r="L42" s="32"/>
      <c r="M42" s="32"/>
      <c r="N42" s="32"/>
      <c r="O42" s="41">
        <v>1523</v>
      </c>
      <c r="P42" s="44">
        <v>697</v>
      </c>
      <c r="Q42" s="47">
        <v>1</v>
      </c>
      <c r="R42" s="31"/>
      <c r="S42" s="11">
        <f t="shared" si="0"/>
        <v>100</v>
      </c>
    </row>
    <row r="43" spans="1:19" ht="14.5" customHeight="1" x14ac:dyDescent="0.35">
      <c r="A43" s="1" t="s">
        <v>48</v>
      </c>
      <c r="B43" s="7">
        <v>1978</v>
      </c>
      <c r="C43" s="41">
        <v>1356</v>
      </c>
      <c r="D43" s="44">
        <v>562</v>
      </c>
      <c r="E43" s="47">
        <v>0</v>
      </c>
      <c r="F43" s="31"/>
      <c r="G43" s="30"/>
      <c r="H43" s="31"/>
      <c r="I43" s="31"/>
      <c r="J43" s="31"/>
      <c r="K43" s="32"/>
      <c r="L43" s="32"/>
      <c r="M43" s="32"/>
      <c r="N43" s="32"/>
      <c r="O43" s="41">
        <v>1356</v>
      </c>
      <c r="P43" s="44">
        <v>562</v>
      </c>
      <c r="Q43" s="47">
        <v>0</v>
      </c>
      <c r="R43" s="31"/>
      <c r="S43" s="11">
        <f t="shared" si="0"/>
        <v>100</v>
      </c>
    </row>
    <row r="44" spans="1:19" ht="14.5" customHeight="1" x14ac:dyDescent="0.35">
      <c r="A44" s="1" t="s">
        <v>49</v>
      </c>
      <c r="B44" s="7">
        <v>1977</v>
      </c>
      <c r="C44" s="41">
        <v>1363</v>
      </c>
      <c r="D44" s="44">
        <v>638</v>
      </c>
      <c r="E44" s="47">
        <v>1</v>
      </c>
      <c r="F44" s="31"/>
      <c r="G44" s="30"/>
      <c r="H44" s="31"/>
      <c r="I44" s="31"/>
      <c r="J44" s="31"/>
      <c r="K44" s="32"/>
      <c r="L44" s="32"/>
      <c r="M44" s="32"/>
      <c r="N44" s="32"/>
      <c r="O44" s="41">
        <v>1363</v>
      </c>
      <c r="P44" s="44">
        <v>638</v>
      </c>
      <c r="Q44" s="47">
        <v>1</v>
      </c>
      <c r="R44" s="31"/>
      <c r="S44" s="11">
        <f t="shared" si="0"/>
        <v>100</v>
      </c>
    </row>
    <row r="45" spans="1:19" ht="14.5" customHeight="1" x14ac:dyDescent="0.35">
      <c r="A45" s="1" t="s">
        <v>50</v>
      </c>
      <c r="B45" s="7">
        <v>1976</v>
      </c>
      <c r="C45" s="41">
        <v>1479</v>
      </c>
      <c r="D45" s="44">
        <v>689</v>
      </c>
      <c r="E45" s="47">
        <v>1</v>
      </c>
      <c r="F45" s="31"/>
      <c r="G45" s="30"/>
      <c r="H45" s="31"/>
      <c r="I45" s="31"/>
      <c r="J45" s="31"/>
      <c r="K45" s="32"/>
      <c r="L45" s="32"/>
      <c r="M45" s="32"/>
      <c r="N45" s="32"/>
      <c r="O45" s="41">
        <v>1479</v>
      </c>
      <c r="P45" s="44">
        <v>689</v>
      </c>
      <c r="Q45" s="47">
        <v>1</v>
      </c>
      <c r="R45" s="31"/>
      <c r="S45" s="11">
        <f t="shared" si="0"/>
        <v>100</v>
      </c>
    </row>
    <row r="46" spans="1:19" ht="14.5" customHeight="1" x14ac:dyDescent="0.35">
      <c r="A46" s="1" t="s">
        <v>51</v>
      </c>
      <c r="B46" s="7">
        <v>1975</v>
      </c>
      <c r="C46" s="41">
        <v>1312</v>
      </c>
      <c r="D46" s="44">
        <v>610</v>
      </c>
      <c r="E46" s="47">
        <v>0</v>
      </c>
      <c r="F46" s="31"/>
      <c r="G46" s="30"/>
      <c r="H46" s="31"/>
      <c r="I46" s="31"/>
      <c r="J46" s="31"/>
      <c r="K46" s="32"/>
      <c r="L46" s="32"/>
      <c r="M46" s="32"/>
      <c r="N46" s="32"/>
      <c r="O46" s="41">
        <v>1312</v>
      </c>
      <c r="P46" s="44">
        <v>610</v>
      </c>
      <c r="Q46" s="47">
        <v>0</v>
      </c>
      <c r="R46" s="31"/>
      <c r="S46" s="11">
        <f t="shared" si="0"/>
        <v>100</v>
      </c>
    </row>
    <row r="47" spans="1:19" ht="14.5" customHeight="1" x14ac:dyDescent="0.35">
      <c r="A47" s="1" t="s">
        <v>52</v>
      </c>
      <c r="B47" s="7">
        <v>1974</v>
      </c>
      <c r="C47" s="41">
        <v>1234</v>
      </c>
      <c r="D47" s="44">
        <v>535</v>
      </c>
      <c r="E47" s="47">
        <v>1</v>
      </c>
      <c r="F47" s="31"/>
      <c r="G47" s="30"/>
      <c r="H47" s="31"/>
      <c r="I47" s="31"/>
      <c r="J47" s="31"/>
      <c r="K47" s="32"/>
      <c r="L47" s="32"/>
      <c r="M47" s="32"/>
      <c r="N47" s="32"/>
      <c r="O47" s="41">
        <v>1234</v>
      </c>
      <c r="P47" s="44">
        <v>535</v>
      </c>
      <c r="Q47" s="47">
        <v>1</v>
      </c>
      <c r="R47" s="31"/>
      <c r="S47" s="11">
        <f t="shared" si="0"/>
        <v>100</v>
      </c>
    </row>
    <row r="48" spans="1:19" ht="14.5" customHeight="1" x14ac:dyDescent="0.35">
      <c r="A48" s="1" t="s">
        <v>53</v>
      </c>
      <c r="B48" s="7">
        <v>1973</v>
      </c>
      <c r="C48" s="41">
        <v>1113</v>
      </c>
      <c r="D48" s="44">
        <v>513</v>
      </c>
      <c r="E48" s="47">
        <v>0</v>
      </c>
      <c r="F48" s="31"/>
      <c r="G48" s="30"/>
      <c r="H48" s="31"/>
      <c r="I48" s="31"/>
      <c r="J48" s="31"/>
      <c r="K48" s="32"/>
      <c r="L48" s="32"/>
      <c r="M48" s="32"/>
      <c r="N48" s="32"/>
      <c r="O48" s="41">
        <v>1113</v>
      </c>
      <c r="P48" s="44">
        <v>513</v>
      </c>
      <c r="Q48" s="47">
        <v>0</v>
      </c>
      <c r="R48" s="31"/>
      <c r="S48" s="11">
        <f t="shared" si="0"/>
        <v>100</v>
      </c>
    </row>
    <row r="49" spans="1:19" ht="14.5" customHeight="1" x14ac:dyDescent="0.35">
      <c r="A49" s="1" t="s">
        <v>54</v>
      </c>
      <c r="B49" s="7">
        <v>1972</v>
      </c>
      <c r="C49" s="41">
        <v>1220</v>
      </c>
      <c r="D49" s="44">
        <v>554</v>
      </c>
      <c r="E49" s="47">
        <v>0</v>
      </c>
      <c r="F49" s="31"/>
      <c r="G49" s="30"/>
      <c r="H49" s="31"/>
      <c r="I49" s="31"/>
      <c r="J49" s="31"/>
      <c r="K49" s="32"/>
      <c r="L49" s="32"/>
      <c r="M49" s="32"/>
      <c r="N49" s="32"/>
      <c r="O49" s="41">
        <v>1220</v>
      </c>
      <c r="P49" s="44">
        <v>554</v>
      </c>
      <c r="Q49" s="47">
        <v>0</v>
      </c>
      <c r="R49" s="31"/>
      <c r="S49" s="11">
        <f t="shared" si="0"/>
        <v>100</v>
      </c>
    </row>
    <row r="50" spans="1:19" ht="14.5" customHeight="1" x14ac:dyDescent="0.35">
      <c r="A50" s="1" t="s">
        <v>55</v>
      </c>
      <c r="B50" s="7">
        <v>1971</v>
      </c>
      <c r="C50" s="41">
        <v>999</v>
      </c>
      <c r="D50" s="44">
        <v>492</v>
      </c>
      <c r="E50" s="47">
        <v>0</v>
      </c>
      <c r="F50" s="31"/>
      <c r="G50" s="30"/>
      <c r="H50" s="31"/>
      <c r="I50" s="31"/>
      <c r="J50" s="31"/>
      <c r="K50" s="32"/>
      <c r="L50" s="32"/>
      <c r="M50" s="32"/>
      <c r="N50" s="32"/>
      <c r="O50" s="41">
        <v>999</v>
      </c>
      <c r="P50" s="44">
        <v>492</v>
      </c>
      <c r="Q50" s="47">
        <v>0</v>
      </c>
      <c r="R50" s="31"/>
      <c r="S50" s="11">
        <f t="shared" si="0"/>
        <v>100</v>
      </c>
    </row>
    <row r="51" spans="1:19" ht="14.5" customHeight="1" x14ac:dyDescent="0.35">
      <c r="A51" s="1" t="s">
        <v>56</v>
      </c>
      <c r="B51" s="7">
        <v>1970</v>
      </c>
      <c r="C51" s="41">
        <v>1045</v>
      </c>
      <c r="D51" s="44">
        <v>471</v>
      </c>
      <c r="E51" s="47">
        <v>1</v>
      </c>
      <c r="F51" s="31"/>
      <c r="G51" s="30"/>
      <c r="H51" s="31"/>
      <c r="I51" s="31"/>
      <c r="J51" s="31"/>
      <c r="K51" s="32"/>
      <c r="L51" s="32"/>
      <c r="M51" s="32"/>
      <c r="N51" s="32"/>
      <c r="O51" s="41">
        <v>1045</v>
      </c>
      <c r="P51" s="44">
        <v>471</v>
      </c>
      <c r="Q51" s="47">
        <v>1</v>
      </c>
      <c r="R51" s="31"/>
      <c r="S51" s="11">
        <f t="shared" si="0"/>
        <v>100</v>
      </c>
    </row>
    <row r="52" spans="1:19" ht="14.5" customHeight="1" x14ac:dyDescent="0.35">
      <c r="A52" s="1" t="s">
        <v>57</v>
      </c>
      <c r="B52" s="7">
        <v>1969</v>
      </c>
      <c r="C52" s="41">
        <v>902</v>
      </c>
      <c r="D52" s="44">
        <v>448</v>
      </c>
      <c r="E52" s="47">
        <v>1</v>
      </c>
      <c r="F52" s="31"/>
      <c r="G52" s="30"/>
      <c r="H52" s="31"/>
      <c r="I52" s="31"/>
      <c r="J52" s="31"/>
      <c r="K52" s="32"/>
      <c r="L52" s="32"/>
      <c r="M52" s="32"/>
      <c r="N52" s="32"/>
      <c r="O52" s="41">
        <v>902</v>
      </c>
      <c r="P52" s="44">
        <v>448</v>
      </c>
      <c r="Q52" s="47">
        <v>1</v>
      </c>
      <c r="R52" s="31"/>
      <c r="S52" s="11">
        <f t="shared" si="0"/>
        <v>100</v>
      </c>
    </row>
    <row r="53" spans="1:19" ht="14.5" customHeight="1" x14ac:dyDescent="0.35">
      <c r="A53" s="1" t="s">
        <v>58</v>
      </c>
      <c r="B53" s="7">
        <v>1968</v>
      </c>
      <c r="C53" s="41">
        <v>908</v>
      </c>
      <c r="D53" s="44">
        <v>464</v>
      </c>
      <c r="E53" s="47">
        <v>0</v>
      </c>
      <c r="F53" s="31"/>
      <c r="G53" s="30"/>
      <c r="H53" s="31"/>
      <c r="I53" s="31"/>
      <c r="J53" s="31"/>
      <c r="K53" s="32"/>
      <c r="L53" s="32"/>
      <c r="M53" s="32"/>
      <c r="N53" s="32"/>
      <c r="O53" s="41">
        <v>908</v>
      </c>
      <c r="P53" s="44">
        <v>464</v>
      </c>
      <c r="Q53" s="47">
        <v>0</v>
      </c>
      <c r="R53" s="31"/>
      <c r="S53" s="11">
        <f t="shared" si="0"/>
        <v>100</v>
      </c>
    </row>
    <row r="54" spans="1:19" ht="14.5" customHeight="1" x14ac:dyDescent="0.35">
      <c r="A54" s="1" t="s">
        <v>59</v>
      </c>
      <c r="B54" s="7">
        <v>1967</v>
      </c>
      <c r="C54" s="41">
        <v>728</v>
      </c>
      <c r="D54" s="44">
        <v>347</v>
      </c>
      <c r="E54" s="47">
        <v>0</v>
      </c>
      <c r="F54" s="31"/>
      <c r="G54" s="30"/>
      <c r="H54" s="31"/>
      <c r="I54" s="31"/>
      <c r="J54" s="31"/>
      <c r="K54" s="32"/>
      <c r="L54" s="32"/>
      <c r="M54" s="32"/>
      <c r="N54" s="32"/>
      <c r="O54" s="41">
        <v>728</v>
      </c>
      <c r="P54" s="44">
        <v>347</v>
      </c>
      <c r="Q54" s="47">
        <v>0</v>
      </c>
      <c r="R54" s="31"/>
      <c r="S54" s="11">
        <f t="shared" si="0"/>
        <v>100</v>
      </c>
    </row>
    <row r="55" spans="1:19" ht="14.5" customHeight="1" x14ac:dyDescent="0.35">
      <c r="A55" s="1" t="s">
        <v>60</v>
      </c>
      <c r="B55" s="7">
        <v>1966</v>
      </c>
      <c r="C55" s="41">
        <v>752</v>
      </c>
      <c r="D55" s="44">
        <v>355</v>
      </c>
      <c r="E55" s="47">
        <v>0</v>
      </c>
      <c r="F55" s="31"/>
      <c r="G55" s="30"/>
      <c r="H55" s="31"/>
      <c r="I55" s="31"/>
      <c r="J55" s="31"/>
      <c r="K55" s="32"/>
      <c r="L55" s="32"/>
      <c r="M55" s="32"/>
      <c r="N55" s="32"/>
      <c r="O55" s="41">
        <v>752</v>
      </c>
      <c r="P55" s="44">
        <v>355</v>
      </c>
      <c r="Q55" s="47">
        <v>0</v>
      </c>
      <c r="R55" s="31"/>
      <c r="S55" s="11">
        <f t="shared" si="0"/>
        <v>100</v>
      </c>
    </row>
    <row r="56" spans="1:19" ht="14.5" customHeight="1" x14ac:dyDescent="0.35">
      <c r="A56" s="3" t="s">
        <v>61</v>
      </c>
      <c r="B56" s="9">
        <v>1965</v>
      </c>
      <c r="C56" s="49">
        <v>921</v>
      </c>
      <c r="D56" s="50">
        <v>436</v>
      </c>
      <c r="E56" s="51">
        <v>1</v>
      </c>
      <c r="F56" s="34"/>
      <c r="G56" s="33"/>
      <c r="H56" s="34"/>
      <c r="I56" s="34"/>
      <c r="J56" s="34"/>
      <c r="K56" s="35"/>
      <c r="L56" s="35"/>
      <c r="M56" s="35"/>
      <c r="N56" s="35"/>
      <c r="O56" s="49">
        <v>921</v>
      </c>
      <c r="P56" s="50">
        <v>436</v>
      </c>
      <c r="Q56" s="51">
        <v>1</v>
      </c>
      <c r="R56" s="34"/>
      <c r="S56" s="12">
        <f t="shared" si="0"/>
        <v>99.999999999999986</v>
      </c>
    </row>
    <row r="57" spans="1:19" ht="16.5" customHeight="1" x14ac:dyDescent="0.35">
      <c r="A57" s="63" t="s">
        <v>62</v>
      </c>
      <c r="B57" s="64"/>
      <c r="C57" s="10">
        <f>SUM(C9:C19)+SUM(C21:C30)+SUM(C32:C56)</f>
        <v>66473</v>
      </c>
      <c r="D57" s="10">
        <f t="shared" ref="D57:R57" si="3">SUM(D9:D19)+SUM(D21:D30)+SUM(D32:D56)</f>
        <v>31849</v>
      </c>
      <c r="E57" s="10">
        <f t="shared" si="3"/>
        <v>47</v>
      </c>
      <c r="F57" s="10">
        <f t="shared" si="3"/>
        <v>0</v>
      </c>
      <c r="G57" s="10">
        <f t="shared" si="3"/>
        <v>0</v>
      </c>
      <c r="H57" s="10">
        <f t="shared" si="3"/>
        <v>0</v>
      </c>
      <c r="I57" s="10">
        <f t="shared" si="3"/>
        <v>0</v>
      </c>
      <c r="J57" s="10">
        <f t="shared" si="3"/>
        <v>0</v>
      </c>
      <c r="K57" s="10">
        <f t="shared" si="3"/>
        <v>0</v>
      </c>
      <c r="L57" s="10">
        <f t="shared" si="3"/>
        <v>0</v>
      </c>
      <c r="M57" s="10">
        <f t="shared" si="3"/>
        <v>0</v>
      </c>
      <c r="N57" s="10">
        <f t="shared" si="3"/>
        <v>0</v>
      </c>
      <c r="O57" s="10">
        <f t="shared" si="3"/>
        <v>66473</v>
      </c>
      <c r="P57" s="10">
        <f t="shared" si="3"/>
        <v>31849</v>
      </c>
      <c r="Q57" s="10">
        <f t="shared" si="3"/>
        <v>47</v>
      </c>
      <c r="R57" s="10">
        <f t="shared" si="3"/>
        <v>0</v>
      </c>
      <c r="S57" s="13">
        <f t="shared" si="0"/>
        <v>100</v>
      </c>
    </row>
    <row r="58" spans="1:19" ht="3" customHeight="1" x14ac:dyDescent="0.3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52"/>
      <c r="P58" s="52"/>
      <c r="Q58" s="52"/>
      <c r="R58" s="52"/>
      <c r="S58" s="52"/>
    </row>
    <row r="59" spans="1:19" ht="15.75" customHeight="1" x14ac:dyDescent="0.35">
      <c r="A59" s="37"/>
      <c r="B59" s="37"/>
      <c r="C59" s="37"/>
      <c r="D59" s="37"/>
      <c r="E59" s="37"/>
      <c r="F59" s="37"/>
      <c r="G59" s="36"/>
      <c r="H59" s="52" t="s">
        <v>69</v>
      </c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</row>
    <row r="60" spans="1:19" ht="15.75" customHeight="1" x14ac:dyDescent="0.35">
      <c r="G60" s="36"/>
      <c r="H60" s="54" t="s">
        <v>66</v>
      </c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</row>
    <row r="61" spans="1:19" ht="15.75" customHeight="1" x14ac:dyDescent="0.35">
      <c r="A61" s="57" t="s">
        <v>63</v>
      </c>
      <c r="B61" s="57"/>
      <c r="C61" s="57"/>
      <c r="D61" s="57"/>
      <c r="E61" s="57"/>
      <c r="F61" s="57"/>
      <c r="G61" s="36"/>
      <c r="H61" s="54" t="s">
        <v>65</v>
      </c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</row>
    <row r="62" spans="1:19" ht="12.75" customHeight="1" x14ac:dyDescent="0.35">
      <c r="A62" s="38"/>
      <c r="B62" s="38"/>
      <c r="C62" s="39"/>
      <c r="D62" s="39"/>
      <c r="E62" s="39"/>
      <c r="F62" s="39"/>
      <c r="H62" s="56" t="s">
        <v>67</v>
      </c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</row>
    <row r="63" spans="1:19" ht="12.75" customHeight="1" x14ac:dyDescent="0.35">
      <c r="A63" s="38"/>
      <c r="B63" s="38"/>
      <c r="C63" s="39"/>
      <c r="D63" s="39"/>
      <c r="E63" s="39"/>
      <c r="F63" s="39"/>
      <c r="H63" s="38"/>
      <c r="I63" s="38"/>
      <c r="J63" s="38"/>
      <c r="K63" s="38"/>
      <c r="L63" s="38"/>
      <c r="M63" s="39"/>
      <c r="N63" s="39"/>
      <c r="O63" s="39"/>
      <c r="P63" s="39"/>
      <c r="Q63" s="39"/>
      <c r="R63" s="39"/>
      <c r="S63" s="39"/>
    </row>
    <row r="64" spans="1:19" ht="12.75" customHeight="1" x14ac:dyDescent="0.35">
      <c r="A64" s="38"/>
      <c r="B64" s="38"/>
      <c r="C64" s="39"/>
      <c r="D64" s="39"/>
      <c r="E64" s="39"/>
      <c r="F64" s="39"/>
      <c r="H64" s="38"/>
      <c r="I64" s="38"/>
      <c r="J64" s="38"/>
      <c r="K64" s="38"/>
      <c r="L64" s="38"/>
      <c r="M64" s="39"/>
      <c r="N64" s="39"/>
      <c r="O64" s="39"/>
      <c r="P64" s="39"/>
      <c r="Q64" s="39"/>
      <c r="R64" s="39"/>
      <c r="S64" s="39"/>
    </row>
    <row r="65" spans="1:19" ht="12.75" customHeight="1" x14ac:dyDescent="0.35">
      <c r="A65" s="38"/>
      <c r="B65" s="38"/>
      <c r="C65" s="39"/>
      <c r="D65" s="39"/>
      <c r="E65" s="39"/>
      <c r="F65" s="39"/>
      <c r="H65" s="38"/>
      <c r="I65" s="38"/>
      <c r="J65" s="38"/>
      <c r="K65" s="38"/>
      <c r="L65" s="38"/>
      <c r="M65" s="39"/>
      <c r="N65" s="39"/>
      <c r="O65" s="39"/>
      <c r="P65" s="39"/>
      <c r="Q65" s="39"/>
      <c r="R65" s="39"/>
      <c r="S65" s="39"/>
    </row>
    <row r="66" spans="1:19" ht="15.65" customHeight="1" x14ac:dyDescent="0.35">
      <c r="A66" s="38"/>
      <c r="B66" s="38"/>
      <c r="C66" s="39"/>
      <c r="D66" s="39"/>
      <c r="E66" s="39"/>
      <c r="F66" s="39"/>
    </row>
    <row r="67" spans="1:19" ht="18" customHeight="1" x14ac:dyDescent="0.35">
      <c r="A67" s="54" t="s">
        <v>71</v>
      </c>
      <c r="B67" s="55"/>
      <c r="C67" s="55"/>
      <c r="D67" s="55"/>
      <c r="E67" s="55"/>
      <c r="F67" s="55"/>
      <c r="H67" s="54" t="s">
        <v>70</v>
      </c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</row>
  </sheetData>
  <sheetProtection password="ED8D" sheet="1"/>
  <mergeCells count="24">
    <mergeCell ref="B6:B8"/>
    <mergeCell ref="C6:F7"/>
    <mergeCell ref="G6:N6"/>
    <mergeCell ref="G7:J7"/>
    <mergeCell ref="A20:B20"/>
    <mergeCell ref="A31:B31"/>
    <mergeCell ref="A57:B57"/>
    <mergeCell ref="A1:D1"/>
    <mergeCell ref="A2:D2"/>
    <mergeCell ref="S6:S8"/>
    <mergeCell ref="P3:S3"/>
    <mergeCell ref="A4:S4"/>
    <mergeCell ref="A5:S5"/>
    <mergeCell ref="A6:A8"/>
    <mergeCell ref="O58:S58"/>
    <mergeCell ref="O6:R7"/>
    <mergeCell ref="A67:F67"/>
    <mergeCell ref="H59:S59"/>
    <mergeCell ref="H60:S60"/>
    <mergeCell ref="H62:S62"/>
    <mergeCell ref="H61:S61"/>
    <mergeCell ref="H67:S67"/>
    <mergeCell ref="A61:F61"/>
    <mergeCell ref="K7:N7"/>
  </mergeCells>
  <printOptions horizontalCentered="1"/>
  <pageMargins left="0.25" right="0.25" top="0.5" bottom="0.5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Tổng hợp kêt quả xóa mù chữ</vt:lpstr>
      <vt:lpstr>'Tổng hợp kêt quả xóa mù chữ'!Print_Titles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Mrs_Quynh</dc:creator>
  <cp:lastModifiedBy>Nam Đậu Hồng</cp:lastModifiedBy>
  <cp:lastPrinted>2025-12-16T14:19:57Z</cp:lastPrinted>
  <dcterms:created xsi:type="dcterms:W3CDTF">2026-04-01T08:17:33Z</dcterms:created>
  <dcterms:modified xsi:type="dcterms:W3CDTF">2026-08-11T09:31:07Z</dcterms:modified>
</cp:coreProperties>
</file>