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HCS\"/>
    </mc:Choice>
  </mc:AlternateContent>
  <xr:revisionPtr revIDLastSave="0" documentId="8_{85A07E1C-512D-4D49-A40F-446B78777135}" xr6:coauthVersionLast="47" xr6:coauthVersionMax="47" xr10:uidLastSave="{00000000-0000-0000-0000-000000000000}"/>
  <bookViews>
    <workbookView xWindow="-110" yWindow="-110" windowWidth="22780" windowHeight="14540" tabRatio="734" xr2:uid="{C6155D4A-F0D0-4957-95A8-D3B90BBF4EB3}"/>
  </bookViews>
  <sheets>
    <sheet name="Toàn xã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3" i="5" l="1"/>
  <c r="Z14" i="5"/>
  <c r="Z15" i="5"/>
  <c r="AB15" i="5"/>
  <c r="AB16" i="5"/>
  <c r="Z16" i="5"/>
  <c r="AB17" i="5"/>
  <c r="G42" i="5" s="1"/>
  <c r="Z17" i="5"/>
  <c r="AB18" i="5"/>
  <c r="Z18" i="5"/>
  <c r="AB19" i="5"/>
  <c r="Z19" i="5"/>
  <c r="AB20" i="5"/>
  <c r="Z20" i="5"/>
  <c r="AB21" i="5"/>
  <c r="Z21" i="5"/>
  <c r="AB22" i="5"/>
  <c r="Z22" i="5"/>
  <c r="AB23" i="5"/>
  <c r="Z23" i="5"/>
  <c r="AB24" i="5"/>
  <c r="Z24" i="5"/>
  <c r="AB25" i="5"/>
  <c r="Z25" i="5"/>
  <c r="Z26" i="5"/>
  <c r="AB26" i="5"/>
  <c r="AB27" i="5"/>
  <c r="Z27" i="5"/>
  <c r="AB28" i="5"/>
  <c r="Z28" i="5"/>
  <c r="AB29" i="5"/>
  <c r="Z29" i="5"/>
  <c r="G40" i="5" s="1"/>
  <c r="H40" i="5" s="1"/>
  <c r="AB30" i="5"/>
  <c r="Z30" i="5"/>
  <c r="AB31" i="5"/>
  <c r="Z31" i="5"/>
  <c r="AB32" i="5"/>
  <c r="Z32" i="5"/>
  <c r="AB33" i="5"/>
  <c r="Z33" i="5"/>
  <c r="AB34" i="5"/>
  <c r="Z34" i="5"/>
  <c r="Z7" i="5"/>
  <c r="AB7" i="5"/>
  <c r="AB8" i="5"/>
  <c r="Z8" i="5"/>
  <c r="AB9" i="5"/>
  <c r="Z9" i="5"/>
  <c r="AB10" i="5"/>
  <c r="Z10" i="5"/>
  <c r="Z11" i="5"/>
  <c r="AB12" i="5"/>
  <c r="Z12" i="5"/>
  <c r="Z6" i="5"/>
  <c r="AB6" i="5"/>
  <c r="AB11" i="5"/>
  <c r="G41" i="5" s="1"/>
  <c r="AB14" i="5"/>
  <c r="G39" i="5"/>
  <c r="H39" i="5" s="1"/>
  <c r="AB37" i="5"/>
  <c r="H41" i="5" l="1"/>
</calcChain>
</file>

<file path=xl/sharedStrings.xml><?xml version="1.0" encoding="utf-8"?>
<sst xmlns="http://schemas.openxmlformats.org/spreadsheetml/2006/main" count="88" uniqueCount="48">
  <si>
    <t>THỐNG KÊ THANH THIẾU NIÊN PHỔ CẬP GIÁO DỤC TRUNG HỌC CƠ SỞ</t>
  </si>
  <si>
    <t>Mẫu: THCS-01-TTN</t>
  </si>
  <si>
    <t>Năm sinh</t>
  </si>
  <si>
    <t>Tổng (15-18)</t>
  </si>
  <si>
    <t>Độ tuổi</t>
  </si>
  <si>
    <t>Tổng số</t>
  </si>
  <si>
    <t>Nữ</t>
  </si>
  <si>
    <t>Dân tộc</t>
  </si>
  <si>
    <t>Khuyết
tật</t>
  </si>
  <si>
    <t>Có khả năng HT</t>
  </si>
  <si>
    <t>Tiếp cận GD</t>
  </si>
  <si>
    <t>Số phải phổ cập (PPC)</t>
  </si>
  <si>
    <t>PT</t>
  </si>
  <si>
    <t>TX</t>
  </si>
  <si>
    <t>GDNN</t>
  </si>
  <si>
    <t>Đã và đang học THCS</t>
  </si>
  <si>
    <t>Lớp 6</t>
  </si>
  <si>
    <t>Số
PPC</t>
  </si>
  <si>
    <t>Tại chỗ</t>
  </si>
  <si>
    <t>Đi học  nơi khác</t>
  </si>
  <si>
    <t>Nơi khác đến</t>
  </si>
  <si>
    <t>Lớp 7</t>
  </si>
  <si>
    <t>Lớp 8</t>
  </si>
  <si>
    <t>Lớp 9</t>
  </si>
  <si>
    <t>TNTHCS</t>
  </si>
  <si>
    <t>Đã và đang học CT GDPT hoặc GDTX cấp THPT hoặc GDNN</t>
  </si>
  <si>
    <t xml:space="preserve">Bỏ học và học khác </t>
  </si>
  <si>
    <t>Số PPC</t>
  </si>
  <si>
    <t>Đi học nơi khác</t>
  </si>
  <si>
    <t>Tiêu chí</t>
  </si>
  <si>
    <t>Bảo đảm tiêu chuẩn PCGDTH mức độ</t>
  </si>
  <si>
    <t xml:space="preserve">Bảo đảm tiêu chuẩn XMC mức độ </t>
  </si>
  <si>
    <t>SL</t>
  </si>
  <si>
    <t>TL</t>
  </si>
  <si>
    <t>TTN 15-18 TNTHCS</t>
  </si>
  <si>
    <t>TTN 15-18 đã, đang học CT GDPT hoặc GDTX cấp THPT hoặc GDNN</t>
  </si>
  <si>
    <t>TTN KT được tiếp cận GD</t>
  </si>
  <si>
    <t>Tổng sô học sinh</t>
  </si>
  <si>
    <t>Tỉnh: Nghệ An</t>
  </si>
  <si>
    <t>Thời điểm: ngày 30 tháng 9 năm 2025</t>
  </si>
  <si>
    <t>NGƯỜI LẬP BẢNG</t>
  </si>
  <si>
    <t>PHÓ CHỦ TỊCH</t>
  </si>
  <si>
    <t>(Kí tên và đóng dấu)</t>
  </si>
  <si>
    <t>XÁC NHẬN CỦA UBND XÃ/PHƯỜNG/ĐẶC KHU</t>
  </si>
  <si>
    <t>Phường: Thành Vinh</t>
  </si>
  <si>
    <t>Thành Vinh, ngày      tháng      năm 2025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</si>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</sst>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₫&quot;_-;\-* #,##0.00\ &quot;₫&quot;_-;_-* &quot;-&quot;??\ &quot;₫&quot;_-;_-@_-"/>
  </numFmts>
  <fonts count="30" x14ac:knownFonts="1">
    <font>
      <sz val="12"/>
      <color theme="1"/>
      <name val="Times New Roman"/>
      <family val="2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b/>
      <sz val="7"/>
      <name val="Arial"/>
      <family val="2"/>
      <charset val="163"/>
    </font>
    <font>
      <b/>
      <i/>
      <sz val="10"/>
      <name val="Arial"/>
      <family val="2"/>
      <charset val="163"/>
    </font>
    <font>
      <i/>
      <sz val="10"/>
      <name val="Arial"/>
      <family val="2"/>
      <charset val="163"/>
    </font>
    <font>
      <sz val="8"/>
      <name val="Arial"/>
      <family val="2"/>
      <charset val="163"/>
    </font>
    <font>
      <sz val="8"/>
      <color indexed="8"/>
      <name val="Arial"/>
      <family val="2"/>
      <charset val="163"/>
    </font>
    <font>
      <sz val="7"/>
      <name val="Arial"/>
      <family val="2"/>
      <charset val="163"/>
    </font>
    <font>
      <sz val="10"/>
      <color indexed="8"/>
      <name val="Arial"/>
      <family val="2"/>
      <charset val="163"/>
    </font>
    <font>
      <b/>
      <sz val="8"/>
      <name val="Arial"/>
      <family val="2"/>
      <charset val="163"/>
    </font>
    <font>
      <sz val="6"/>
      <name val="Arial"/>
      <family val="2"/>
      <charset val="163"/>
    </font>
    <font>
      <b/>
      <sz val="12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i/>
      <sz val="12"/>
      <color indexed="8"/>
      <name val="Times New Roman"/>
      <family val="1"/>
    </font>
    <font>
      <sz val="12"/>
      <color theme="0"/>
      <name val="Times New Roman"/>
      <family val="2"/>
      <charset val="163"/>
    </font>
    <font>
      <sz val="10"/>
      <color rgb="FFFF0000"/>
      <name val="Arial"/>
      <family val="2"/>
      <charset val="163"/>
    </font>
    <font>
      <b/>
      <sz val="12"/>
      <color indexed="8"/>
      <name val="Calibri Light"/>
      <family val="1"/>
      <charset val="163"/>
      <scheme val="major"/>
    </font>
    <font>
      <sz val="12"/>
      <color indexed="8"/>
      <name val="Calibri Light"/>
      <family val="1"/>
      <charset val="163"/>
      <scheme val="major"/>
    </font>
    <font>
      <i/>
      <sz val="12"/>
      <color indexed="8"/>
      <name val="Calibri Light"/>
      <family val="1"/>
      <charset val="163"/>
      <scheme val="major"/>
    </font>
    <font>
      <sz val="8"/>
      <color indexed="8"/>
      <name val="Calibri Light"/>
      <family val="1"/>
      <charset val="163"/>
      <scheme val="major"/>
    </font>
    <font>
      <i/>
      <sz val="10"/>
      <color indexed="8"/>
      <name val="Calibri Light"/>
      <family val="1"/>
      <charset val="163"/>
      <scheme val="major"/>
    </font>
    <font>
      <b/>
      <sz val="8"/>
      <color indexed="8"/>
      <name val="Calibri Light"/>
      <family val="1"/>
      <charset val="163"/>
      <scheme val="major"/>
    </font>
    <font>
      <sz val="10"/>
      <color indexed="8"/>
      <name val="Calibri Light"/>
      <family val="1"/>
      <charset val="163"/>
      <scheme val="major"/>
    </font>
    <font>
      <b/>
      <sz val="10"/>
      <color indexed="8"/>
      <name val="Calibri Light"/>
      <family val="1"/>
      <charset val="163"/>
      <scheme val="major"/>
    </font>
    <font>
      <i/>
      <sz val="8"/>
      <color indexed="8"/>
      <name val="Calibri Light"/>
      <family val="1"/>
      <charset val="163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</fills>
  <borders count="29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2" fontId="19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" fontId="6" fillId="0" borderId="11" xfId="0" applyNumberFormat="1" applyFont="1" applyBorder="1" applyAlignment="1" applyProtection="1">
      <alignment horizontal="center" vertical="center"/>
      <protection locked="0"/>
    </xf>
    <xf numFmtId="164" fontId="15" fillId="0" borderId="0" xfId="0" applyNumberFormat="1" applyFont="1" applyAlignment="1" applyProtection="1">
      <alignment vertical="center"/>
      <protection locked="0"/>
    </xf>
    <xf numFmtId="2" fontId="19" fillId="0" borderId="0" xfId="0" applyNumberFormat="1" applyFont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20" fillId="0" borderId="0" xfId="0" applyFont="1" applyFill="1" applyProtection="1">
      <protection locked="0"/>
    </xf>
    <xf numFmtId="164" fontId="0" fillId="0" borderId="0" xfId="0" applyNumberFormat="1" applyFill="1" applyAlignment="1" applyProtection="1">
      <alignment vertical="center"/>
      <protection locked="0"/>
    </xf>
    <xf numFmtId="0" fontId="9" fillId="0" borderId="0" xfId="0" applyFont="1" applyFill="1" applyProtection="1">
      <protection locked="0"/>
    </xf>
    <xf numFmtId="1" fontId="6" fillId="0" borderId="12" xfId="0" applyNumberFormat="1" applyFont="1" applyBorder="1" applyAlignment="1" applyProtection="1">
      <alignment horizontal="center" vertical="center"/>
      <protection locked="0"/>
    </xf>
    <xf numFmtId="1" fontId="6" fillId="0" borderId="13" xfId="0" applyNumberFormat="1" applyFont="1" applyBorder="1" applyAlignment="1" applyProtection="1">
      <alignment horizontal="center" vertical="center"/>
      <protection locked="0"/>
    </xf>
    <xf numFmtId="1" fontId="6" fillId="0" borderId="14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Border="1" applyAlignment="1" applyProtection="1">
      <alignment vertical="center"/>
      <protection locked="0"/>
    </xf>
    <xf numFmtId="164" fontId="6" fillId="0" borderId="15" xfId="0" applyNumberFormat="1" applyFont="1" applyBorder="1" applyAlignment="1" applyProtection="1">
      <alignment horizontal="left" vertical="center" wrapText="1"/>
      <protection locked="0"/>
    </xf>
    <xf numFmtId="1" fontId="6" fillId="0" borderId="15" xfId="0" applyNumberFormat="1" applyFont="1" applyBorder="1" applyAlignment="1" applyProtection="1">
      <alignment horizontal="center" vertical="center"/>
      <protection locked="0"/>
    </xf>
    <xf numFmtId="164" fontId="6" fillId="0" borderId="16" xfId="0" applyNumberFormat="1" applyFont="1" applyBorder="1" applyAlignment="1" applyProtection="1">
      <alignment horizontal="left" vertical="center" wrapText="1"/>
      <protection locked="0"/>
    </xf>
    <xf numFmtId="1" fontId="6" fillId="0" borderId="16" xfId="0" applyNumberFormat="1" applyFont="1" applyBorder="1" applyAlignment="1" applyProtection="1">
      <alignment horizontal="center" vertical="center"/>
      <protection locked="0"/>
    </xf>
    <xf numFmtId="1" fontId="6" fillId="0" borderId="17" xfId="0" applyNumberFormat="1" applyFont="1" applyBorder="1" applyAlignment="1" applyProtection="1">
      <alignment horizontal="center" vertical="center"/>
      <protection locked="0"/>
    </xf>
    <xf numFmtId="164" fontId="6" fillId="2" borderId="15" xfId="0" applyNumberFormat="1" applyFont="1" applyFill="1" applyBorder="1" applyAlignment="1" applyProtection="1">
      <alignment horizontal="left" vertical="center" wrapText="1"/>
      <protection locked="0"/>
    </xf>
    <xf numFmtId="164" fontId="6" fillId="2" borderId="16" xfId="0" applyNumberFormat="1" applyFont="1" applyFill="1" applyBorder="1" applyAlignment="1" applyProtection="1">
      <alignment horizontal="left" vertical="center" wrapText="1"/>
      <protection locked="0"/>
    </xf>
    <xf numFmtId="164" fontId="6" fillId="0" borderId="18" xfId="0" applyNumberFormat="1" applyFont="1" applyBorder="1" applyAlignment="1" applyProtection="1">
      <alignment vertical="center" wrapText="1"/>
      <protection locked="0"/>
    </xf>
    <xf numFmtId="37" fontId="6" fillId="0" borderId="15" xfId="0" applyNumberFormat="1" applyFont="1" applyBorder="1" applyAlignment="1" applyProtection="1">
      <alignment horizontal="center" vertical="center"/>
      <protection locked="0"/>
    </xf>
    <xf numFmtId="164" fontId="6" fillId="0" borderId="19" xfId="0" applyNumberFormat="1" applyFont="1" applyBorder="1" applyAlignment="1" applyProtection="1">
      <alignment horizontal="left" vertical="center" wrapText="1"/>
      <protection locked="0"/>
    </xf>
    <xf numFmtId="37" fontId="6" fillId="0" borderId="16" xfId="0" applyNumberFormat="1" applyFont="1" applyBorder="1" applyAlignment="1" applyProtection="1">
      <alignment horizontal="center" vertical="center"/>
      <protection locked="0"/>
    </xf>
    <xf numFmtId="37" fontId="6" fillId="0" borderId="17" xfId="0" applyNumberFormat="1" applyFont="1" applyBorder="1" applyAlignment="1" applyProtection="1">
      <alignment horizontal="center" vertical="center"/>
      <protection locked="0"/>
    </xf>
    <xf numFmtId="164" fontId="21" fillId="0" borderId="0" xfId="0" applyNumberFormat="1" applyFont="1" applyAlignment="1" applyProtection="1">
      <alignment horizontal="center" vertical="center"/>
      <protection locked="0"/>
    </xf>
    <xf numFmtId="164" fontId="22" fillId="0" borderId="0" xfId="0" applyNumberFormat="1" applyFont="1" applyAlignment="1" applyProtection="1">
      <alignment vertical="center"/>
      <protection locked="0"/>
    </xf>
    <xf numFmtId="164" fontId="23" fillId="0" borderId="0" xfId="0" applyNumberFormat="1" applyFont="1" applyBorder="1" applyAlignment="1" applyProtection="1">
      <alignment vertical="center"/>
      <protection locked="0"/>
    </xf>
    <xf numFmtId="164" fontId="6" fillId="0" borderId="20" xfId="0" applyNumberFormat="1" applyFont="1" applyBorder="1" applyAlignment="1" applyProtection="1">
      <alignment horizontal="left" vertical="center"/>
      <protection locked="0"/>
    </xf>
    <xf numFmtId="164" fontId="6" fillId="0" borderId="21" xfId="0" applyNumberFormat="1" applyFont="1" applyBorder="1" applyAlignment="1" applyProtection="1">
      <alignment horizontal="left" vertical="center"/>
      <protection locked="0"/>
    </xf>
    <xf numFmtId="164" fontId="6" fillId="0" borderId="22" xfId="0" applyNumberFormat="1" applyFont="1" applyBorder="1" applyAlignment="1" applyProtection="1">
      <alignment horizontal="left" vertical="center"/>
      <protection locked="0"/>
    </xf>
    <xf numFmtId="164" fontId="22" fillId="0" borderId="0" xfId="0" applyNumberFormat="1" applyFont="1" applyAlignment="1" applyProtection="1">
      <alignment horizontal="right" vertical="center"/>
      <protection locked="0"/>
    </xf>
    <xf numFmtId="164" fontId="21" fillId="0" borderId="0" xfId="0" applyNumberFormat="1" applyFont="1" applyAlignment="1" applyProtection="1">
      <alignment vertical="center"/>
      <protection locked="0"/>
    </xf>
    <xf numFmtId="1" fontId="21" fillId="0" borderId="23" xfId="0" applyNumberFormat="1" applyFont="1" applyBorder="1" applyAlignment="1" applyProtection="1">
      <alignment vertical="center"/>
      <protection locked="0"/>
    </xf>
    <xf numFmtId="1" fontId="21" fillId="0" borderId="0" xfId="0" applyNumberFormat="1" applyFont="1" applyAlignment="1" applyProtection="1">
      <alignment vertical="center"/>
      <protection locked="0"/>
    </xf>
    <xf numFmtId="1" fontId="10" fillId="0" borderId="11" xfId="0" applyNumberFormat="1" applyFont="1" applyBorder="1" applyAlignment="1" applyProtection="1">
      <alignment horizontal="center" vertical="center"/>
      <protection locked="0"/>
    </xf>
    <xf numFmtId="1" fontId="24" fillId="0" borderId="0" xfId="0" applyNumberFormat="1" applyFont="1" applyAlignment="1" applyProtection="1">
      <alignment vertical="center"/>
      <protection locked="0"/>
    </xf>
    <xf numFmtId="164" fontId="24" fillId="0" borderId="0" xfId="0" applyNumberFormat="1" applyFont="1" applyAlignment="1" applyProtection="1">
      <alignment horizontal="right" vertical="center"/>
      <protection locked="0"/>
    </xf>
    <xf numFmtId="164" fontId="25" fillId="0" borderId="0" xfId="0" applyNumberFormat="1" applyFont="1" applyAlignment="1" applyProtection="1">
      <alignment vertical="center"/>
      <protection locked="0"/>
    </xf>
    <xf numFmtId="164" fontId="26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1" fontId="24" fillId="2" borderId="0" xfId="0" applyNumberFormat="1" applyFont="1" applyFill="1" applyAlignment="1" applyProtection="1">
      <alignment vertical="center"/>
      <protection locked="0"/>
    </xf>
    <xf numFmtId="164" fontId="29" fillId="0" borderId="0" xfId="0" applyNumberFormat="1" applyFont="1" applyAlignment="1" applyProtection="1">
      <alignment vertical="center"/>
      <protection locked="0"/>
    </xf>
    <xf numFmtId="1" fontId="0" fillId="0" borderId="0" xfId="0" applyNumberFormat="1" applyProtection="1">
      <protection locked="0"/>
    </xf>
    <xf numFmtId="0" fontId="15" fillId="0" borderId="0" xfId="0" applyFont="1" applyProtection="1">
      <protection locked="0"/>
    </xf>
    <xf numFmtId="0" fontId="27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" fontId="6" fillId="4" borderId="11" xfId="0" applyNumberFormat="1" applyFont="1" applyFill="1" applyBorder="1" applyAlignment="1" applyProtection="1">
      <alignment horizontal="center" vertical="center"/>
    </xf>
    <xf numFmtId="1" fontId="6" fillId="4" borderId="17" xfId="0" applyNumberFormat="1" applyFont="1" applyFill="1" applyBorder="1" applyAlignment="1" applyProtection="1">
      <alignment horizontal="center" vertical="center"/>
    </xf>
    <xf numFmtId="1" fontId="6" fillId="4" borderId="15" xfId="0" applyNumberFormat="1" applyFont="1" applyFill="1" applyBorder="1" applyAlignment="1" applyProtection="1">
      <alignment horizontal="center" vertical="center"/>
    </xf>
    <xf numFmtId="1" fontId="6" fillId="4" borderId="16" xfId="0" applyNumberFormat="1" applyFont="1" applyFill="1" applyBorder="1" applyAlignment="1" applyProtection="1">
      <alignment horizontal="center" vertical="center"/>
    </xf>
    <xf numFmtId="2" fontId="19" fillId="0" borderId="0" xfId="0" applyNumberFormat="1" applyFont="1" applyAlignment="1" applyProtection="1">
      <alignment vertical="center"/>
    </xf>
    <xf numFmtId="1" fontId="19" fillId="0" borderId="0" xfId="0" applyNumberFormat="1" applyFont="1" applyFill="1" applyAlignment="1" applyProtection="1">
      <alignment vertical="center"/>
    </xf>
    <xf numFmtId="2" fontId="19" fillId="0" borderId="0" xfId="0" applyNumberFormat="1" applyFont="1" applyFill="1" applyAlignment="1" applyProtection="1">
      <alignment vertical="center"/>
    </xf>
    <xf numFmtId="2" fontId="6" fillId="4" borderId="11" xfId="0" applyNumberFormat="1" applyFont="1" applyFill="1" applyBorder="1" applyAlignment="1" applyProtection="1">
      <alignment vertical="center"/>
    </xf>
    <xf numFmtId="1" fontId="6" fillId="5" borderId="11" xfId="0" applyNumberFormat="1" applyFont="1" applyFill="1" applyBorder="1" applyAlignment="1" applyProtection="1">
      <alignment horizontal="center" vertical="center"/>
    </xf>
    <xf numFmtId="2" fontId="6" fillId="5" borderId="11" xfId="0" applyNumberFormat="1" applyFont="1" applyFill="1" applyBorder="1" applyAlignment="1" applyProtection="1">
      <alignment vertical="center"/>
    </xf>
    <xf numFmtId="1" fontId="6" fillId="4" borderId="11" xfId="0" applyNumberFormat="1" applyFont="1" applyFill="1" applyBorder="1" applyAlignment="1" applyProtection="1">
      <alignment vertical="center"/>
    </xf>
    <xf numFmtId="1" fontId="6" fillId="0" borderId="20" xfId="0" applyNumberFormat="1" applyFont="1" applyBorder="1" applyAlignment="1" applyProtection="1">
      <alignment horizontal="center" vertical="center"/>
      <protection locked="0"/>
    </xf>
    <xf numFmtId="1" fontId="6" fillId="0" borderId="21" xfId="0" applyNumberFormat="1" applyFont="1" applyBorder="1" applyAlignment="1" applyProtection="1">
      <alignment horizontal="center" vertical="center"/>
      <protection locked="0"/>
    </xf>
    <xf numFmtId="1" fontId="6" fillId="0" borderId="22" xfId="0" applyNumberFormat="1" applyFont="1" applyBorder="1" applyAlignment="1" applyProtection="1">
      <alignment horizontal="center" vertical="center"/>
      <protection locked="0"/>
    </xf>
    <xf numFmtId="1" fontId="7" fillId="0" borderId="20" xfId="0" applyNumberFormat="1" applyFont="1" applyBorder="1" applyAlignment="1" applyProtection="1">
      <alignment horizontal="center" vertical="center"/>
      <protection locked="0"/>
    </xf>
    <xf numFmtId="1" fontId="7" fillId="0" borderId="22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17" fillId="0" borderId="20" xfId="0" applyNumberFormat="1" applyFont="1" applyBorder="1" applyAlignment="1" applyProtection="1">
      <alignment horizontal="center" vertical="center"/>
      <protection locked="0"/>
    </xf>
    <xf numFmtId="1" fontId="17" fillId="0" borderId="21" xfId="0" applyNumberFormat="1" applyFont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8" fillId="4" borderId="11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/>
    </xf>
    <xf numFmtId="164" fontId="6" fillId="0" borderId="11" xfId="0" applyNumberFormat="1" applyFont="1" applyBorder="1" applyAlignment="1" applyProtection="1">
      <alignment horizontal="left" vertical="center" wrapText="1"/>
      <protection locked="0"/>
    </xf>
    <xf numFmtId="164" fontId="6" fillId="0" borderId="11" xfId="0" applyNumberFormat="1" applyFont="1" applyBorder="1" applyAlignment="1" applyProtection="1">
      <alignment horizontal="left" vertical="center"/>
      <protection locked="0"/>
    </xf>
    <xf numFmtId="1" fontId="16" fillId="0" borderId="20" xfId="0" applyNumberFormat="1" applyFont="1" applyBorder="1" applyAlignment="1" applyProtection="1">
      <alignment horizontal="center" vertical="center"/>
      <protection locked="0"/>
    </xf>
    <xf numFmtId="1" fontId="16" fillId="0" borderId="22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1" fontId="6" fillId="0" borderId="11" xfId="0" applyNumberFormat="1" applyFont="1" applyBorder="1" applyAlignment="1" applyProtection="1">
      <alignment horizontal="center" vertical="center"/>
      <protection locked="0"/>
    </xf>
    <xf numFmtId="164" fontId="6" fillId="0" borderId="20" xfId="0" applyNumberFormat="1" applyFont="1" applyBorder="1" applyAlignment="1" applyProtection="1">
      <alignment horizontal="center" vertical="center" wrapText="1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0" xfId="0" applyNumberFormat="1" applyFont="1" applyBorder="1" applyAlignment="1" applyProtection="1">
      <alignment horizontal="left" vertical="center" wrapText="1"/>
      <protection locked="0"/>
    </xf>
    <xf numFmtId="164" fontId="6" fillId="0" borderId="22" xfId="0" applyNumberFormat="1" applyFont="1" applyBorder="1" applyAlignment="1" applyProtection="1">
      <alignment horizontal="left" vertical="center" wrapText="1"/>
      <protection locked="0"/>
    </xf>
    <xf numFmtId="164" fontId="6" fillId="0" borderId="21" xfId="0" applyNumberFormat="1" applyFont="1" applyBorder="1" applyAlignment="1" applyProtection="1">
      <alignment horizontal="center" vertical="center" wrapText="1"/>
      <protection locked="0"/>
    </xf>
    <xf numFmtId="164" fontId="10" fillId="0" borderId="11" xfId="0" applyNumberFormat="1" applyFont="1" applyBorder="1" applyAlignment="1" applyProtection="1">
      <alignment horizontal="center" vertical="center" textRotation="90"/>
      <protection locked="0"/>
    </xf>
    <xf numFmtId="0" fontId="2" fillId="0" borderId="11" xfId="0" applyFont="1" applyBorder="1" applyProtection="1">
      <protection locked="0"/>
    </xf>
    <xf numFmtId="0" fontId="2" fillId="0" borderId="28" xfId="0" applyFont="1" applyBorder="1" applyProtection="1">
      <protection locked="0"/>
    </xf>
    <xf numFmtId="164" fontId="6" fillId="0" borderId="15" xfId="0" applyNumberFormat="1" applyFont="1" applyBorder="1" applyAlignment="1" applyProtection="1">
      <alignment horizontal="left" vertical="center" textRotation="90"/>
      <protection locked="0"/>
    </xf>
    <xf numFmtId="164" fontId="6" fillId="0" borderId="16" xfId="0" applyNumberFormat="1" applyFont="1" applyBorder="1" applyAlignment="1" applyProtection="1">
      <alignment horizontal="left" vertical="center" textRotation="90"/>
      <protection locked="0"/>
    </xf>
    <xf numFmtId="164" fontId="6" fillId="0" borderId="17" xfId="0" applyNumberFormat="1" applyFont="1" applyBorder="1" applyAlignment="1" applyProtection="1">
      <alignment horizontal="left" vertical="center" textRotation="90"/>
      <protection locked="0"/>
    </xf>
    <xf numFmtId="164" fontId="6" fillId="0" borderId="15" xfId="0" applyNumberFormat="1" applyFont="1" applyBorder="1" applyAlignment="1" applyProtection="1">
      <alignment horizontal="center" vertical="center" wrapText="1"/>
      <protection locked="0"/>
    </xf>
    <xf numFmtId="164" fontId="6" fillId="0" borderId="16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left" vertical="center"/>
      <protection locked="0"/>
    </xf>
    <xf numFmtId="164" fontId="6" fillId="0" borderId="26" xfId="0" applyNumberFormat="1" applyFont="1" applyBorder="1" applyAlignment="1" applyProtection="1">
      <alignment horizontal="left" vertical="center"/>
      <protection locked="0"/>
    </xf>
    <xf numFmtId="164" fontId="6" fillId="0" borderId="20" xfId="0" applyNumberFormat="1" applyFont="1" applyBorder="1" applyAlignment="1" applyProtection="1">
      <alignment horizontal="left" vertical="center"/>
      <protection locked="0"/>
    </xf>
    <xf numFmtId="164" fontId="6" fillId="0" borderId="21" xfId="0" applyNumberFormat="1" applyFont="1" applyBorder="1" applyAlignment="1" applyProtection="1">
      <alignment horizontal="left" vertical="center"/>
      <protection locked="0"/>
    </xf>
    <xf numFmtId="164" fontId="6" fillId="0" borderId="22" xfId="0" applyNumberFormat="1" applyFont="1" applyBorder="1" applyAlignment="1" applyProtection="1">
      <alignment horizontal="left" vertical="center"/>
      <protection locked="0"/>
    </xf>
    <xf numFmtId="0" fontId="11" fillId="2" borderId="15" xfId="0" applyFont="1" applyFill="1" applyBorder="1" applyAlignment="1" applyProtection="1">
      <alignment horizontal="center" vertical="center" wrapText="1"/>
      <protection locked="0"/>
    </xf>
    <xf numFmtId="0" fontId="11" fillId="2" borderId="16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 applyProtection="1">
      <alignment horizontal="center" vertical="center" wrapText="1"/>
      <protection locked="0"/>
    </xf>
    <xf numFmtId="164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25" xfId="0" applyNumberFormat="1" applyFont="1" applyFill="1" applyBorder="1" applyAlignment="1" applyProtection="1">
      <alignment horizontal="left" vertical="center"/>
      <protection locked="0"/>
    </xf>
    <xf numFmtId="164" fontId="6" fillId="2" borderId="26" xfId="0" applyNumberFormat="1" applyFont="1" applyFill="1" applyBorder="1" applyAlignment="1" applyProtection="1">
      <alignment horizontal="left" vertical="center"/>
      <protection locked="0"/>
    </xf>
    <xf numFmtId="164" fontId="10" fillId="0" borderId="15" xfId="0" applyNumberFormat="1" applyFont="1" applyBorder="1" applyAlignment="1" applyProtection="1">
      <alignment horizontal="center" vertical="center" textRotation="90" wrapText="1"/>
      <protection locked="0"/>
    </xf>
    <xf numFmtId="164" fontId="10" fillId="0" borderId="16" xfId="0" applyNumberFormat="1" applyFont="1" applyBorder="1" applyAlignment="1" applyProtection="1">
      <alignment horizontal="center" vertical="center" textRotation="90" wrapText="1"/>
      <protection locked="0"/>
    </xf>
    <xf numFmtId="164" fontId="10" fillId="0" borderId="17" xfId="0" applyNumberFormat="1" applyFont="1" applyBorder="1" applyAlignment="1" applyProtection="1">
      <alignment horizontal="center" vertical="center" textRotation="90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7" xfId="0" applyNumberFormat="1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justify" vertical="center"/>
      <protection locked="0"/>
    </xf>
    <xf numFmtId="0" fontId="6" fillId="2" borderId="21" xfId="0" applyFont="1" applyFill="1" applyBorder="1" applyAlignment="1" applyProtection="1">
      <alignment horizontal="justify" vertical="center"/>
      <protection locked="0"/>
    </xf>
    <xf numFmtId="0" fontId="6" fillId="2" borderId="22" xfId="0" applyFont="1" applyFill="1" applyBorder="1" applyAlignment="1" applyProtection="1">
      <alignment horizontal="justify" vertical="center"/>
      <protection locked="0"/>
    </xf>
    <xf numFmtId="164" fontId="10" fillId="0" borderId="24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B7AD-E026-4507-B26E-B6AD6949727B}">
  <sheetPr>
    <tabColor rgb="FFFF0000"/>
  </sheetPr>
  <dimension ref="A1:AP75"/>
  <sheetViews>
    <sheetView showZeros="0"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10" sqref="F10:Y10"/>
    </sheetView>
  </sheetViews>
  <sheetFormatPr defaultColWidth="8.75" defaultRowHeight="15.5" x14ac:dyDescent="0.35"/>
  <cols>
    <col min="1" max="2" width="3.25" style="79" customWidth="1"/>
    <col min="3" max="3" width="4.25" style="79" customWidth="1"/>
    <col min="4" max="4" width="7.25" style="79" customWidth="1"/>
    <col min="5" max="5" width="4.75" style="79" customWidth="1"/>
    <col min="6" max="6" width="3.75" style="77" customWidth="1"/>
    <col min="7" max="7" width="4.83203125" style="77" customWidth="1"/>
    <col min="8" max="8" width="5.83203125" style="77" customWidth="1"/>
    <col min="9" max="13" width="4.08203125" style="77" customWidth="1"/>
    <col min="14" max="14" width="4.08203125" style="78" customWidth="1"/>
    <col min="15" max="16" width="3.58203125" style="78" customWidth="1"/>
    <col min="17" max="17" width="4.08203125" style="78" customWidth="1"/>
    <col min="18" max="18" width="3.58203125" style="78" customWidth="1"/>
    <col min="19" max="20" width="4.08203125" style="78" customWidth="1"/>
    <col min="21" max="21" width="3.58203125" style="78" customWidth="1"/>
    <col min="22" max="23" width="4.08203125" style="78" customWidth="1"/>
    <col min="24" max="24" width="3.58203125" style="78" customWidth="1"/>
    <col min="25" max="25" width="4.08203125" style="78" customWidth="1"/>
    <col min="26" max="26" width="5.08203125" style="78" customWidth="1"/>
    <col min="27" max="27" width="4.25" style="21" customWidth="1"/>
    <col min="28" max="28" width="0.83203125" style="22" customWidth="1"/>
    <col min="29" max="16384" width="8.75" style="23"/>
  </cols>
  <sheetData>
    <row r="1" spans="1:42" ht="21.65" customHeight="1" x14ac:dyDescent="0.35">
      <c r="A1" s="96" t="s">
        <v>38</v>
      </c>
      <c r="B1" s="96"/>
      <c r="C1" s="96"/>
      <c r="D1" s="96"/>
      <c r="E1" s="19"/>
      <c r="F1" s="97" t="s">
        <v>0</v>
      </c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20"/>
      <c r="X1" s="98" t="s">
        <v>1</v>
      </c>
      <c r="Y1" s="98"/>
      <c r="Z1" s="98"/>
    </row>
    <row r="2" spans="1:42" ht="21.65" customHeight="1" x14ac:dyDescent="0.35">
      <c r="A2" s="96" t="s">
        <v>44</v>
      </c>
      <c r="B2" s="96"/>
      <c r="C2" s="96"/>
      <c r="D2" s="96"/>
      <c r="E2" s="19"/>
      <c r="F2" s="97" t="s">
        <v>39</v>
      </c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24"/>
      <c r="X2" s="24"/>
      <c r="Y2" s="24"/>
      <c r="Z2" s="24"/>
    </row>
    <row r="3" spans="1:42" ht="6.65" customHeight="1" x14ac:dyDescent="0.35">
      <c r="A3" s="141"/>
      <c r="B3" s="141"/>
      <c r="C3" s="141"/>
      <c r="D3" s="141"/>
      <c r="E3" s="1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25"/>
      <c r="X3" s="25"/>
      <c r="Y3" s="25"/>
      <c r="Z3" s="26"/>
    </row>
    <row r="4" spans="1:42" s="30" customFormat="1" ht="16.899999999999999" customHeight="1" x14ac:dyDescent="0.35">
      <c r="A4" s="104" t="s">
        <v>2</v>
      </c>
      <c r="B4" s="105"/>
      <c r="C4" s="105"/>
      <c r="D4" s="105"/>
      <c r="E4" s="27">
        <v>1</v>
      </c>
      <c r="F4" s="106">
        <v>2014</v>
      </c>
      <c r="G4" s="107">
        <v>2013</v>
      </c>
      <c r="H4" s="106">
        <v>2013</v>
      </c>
      <c r="I4" s="107">
        <v>2012</v>
      </c>
      <c r="J4" s="106">
        <v>2012</v>
      </c>
      <c r="K4" s="107">
        <v>2011</v>
      </c>
      <c r="L4" s="106">
        <v>2011</v>
      </c>
      <c r="M4" s="107">
        <v>2010</v>
      </c>
      <c r="N4" s="99">
        <v>2010</v>
      </c>
      <c r="O4" s="100">
        <v>2009</v>
      </c>
      <c r="P4" s="101">
        <v>2009</v>
      </c>
      <c r="Q4" s="99">
        <v>2009</v>
      </c>
      <c r="R4" s="100">
        <v>2008</v>
      </c>
      <c r="S4" s="101">
        <v>2008</v>
      </c>
      <c r="T4" s="99">
        <v>2008</v>
      </c>
      <c r="U4" s="100">
        <v>2007</v>
      </c>
      <c r="V4" s="101">
        <v>2007</v>
      </c>
      <c r="W4" s="99">
        <v>2007</v>
      </c>
      <c r="X4" s="100">
        <v>2006</v>
      </c>
      <c r="Y4" s="101">
        <v>2006</v>
      </c>
      <c r="Z4" s="102" t="s">
        <v>3</v>
      </c>
      <c r="AA4" s="28"/>
      <c r="AB4" s="84"/>
    </row>
    <row r="5" spans="1:42" s="30" customFormat="1" ht="16.899999999999999" customHeight="1" x14ac:dyDescent="0.25">
      <c r="A5" s="104" t="s">
        <v>4</v>
      </c>
      <c r="B5" s="105"/>
      <c r="C5" s="105"/>
      <c r="D5" s="105"/>
      <c r="E5" s="27">
        <v>2</v>
      </c>
      <c r="F5" s="106">
        <v>11</v>
      </c>
      <c r="G5" s="107"/>
      <c r="H5" s="106">
        <v>12</v>
      </c>
      <c r="I5" s="107"/>
      <c r="J5" s="106">
        <v>13</v>
      </c>
      <c r="K5" s="107"/>
      <c r="L5" s="106">
        <v>14</v>
      </c>
      <c r="M5" s="107"/>
      <c r="N5" s="99">
        <v>15</v>
      </c>
      <c r="O5" s="100"/>
      <c r="P5" s="101"/>
      <c r="Q5" s="99">
        <v>16</v>
      </c>
      <c r="R5" s="100"/>
      <c r="S5" s="101"/>
      <c r="T5" s="99">
        <v>17</v>
      </c>
      <c r="U5" s="100"/>
      <c r="V5" s="101"/>
      <c r="W5" s="99">
        <v>18</v>
      </c>
      <c r="X5" s="100"/>
      <c r="Y5" s="101"/>
      <c r="Z5" s="103"/>
      <c r="AA5" s="28"/>
      <c r="AB5" s="84"/>
      <c r="AC5" s="31"/>
      <c r="AD5" s="31"/>
      <c r="AE5" s="32"/>
    </row>
    <row r="6" spans="1:42" s="30" customFormat="1" ht="18" customHeight="1" x14ac:dyDescent="0.25">
      <c r="A6" s="104" t="s">
        <v>5</v>
      </c>
      <c r="B6" s="105"/>
      <c r="C6" s="105"/>
      <c r="D6" s="105"/>
      <c r="E6" s="27">
        <v>3</v>
      </c>
      <c r="F6" s="94">
        <v>2228</v>
      </c>
      <c r="G6" s="95"/>
      <c r="H6" s="94">
        <v>2280</v>
      </c>
      <c r="I6" s="95"/>
      <c r="J6" s="94">
        <v>2592</v>
      </c>
      <c r="K6" s="95"/>
      <c r="L6" s="94">
        <v>2161</v>
      </c>
      <c r="M6" s="95"/>
      <c r="N6" s="91">
        <v>1271</v>
      </c>
      <c r="O6" s="92"/>
      <c r="P6" s="93"/>
      <c r="Q6" s="91">
        <v>1801</v>
      </c>
      <c r="R6" s="92"/>
      <c r="S6" s="93"/>
      <c r="T6" s="91">
        <v>1498</v>
      </c>
      <c r="U6" s="92"/>
      <c r="V6" s="93"/>
      <c r="W6" s="91">
        <v>1504</v>
      </c>
      <c r="X6" s="92"/>
      <c r="Y6" s="93"/>
      <c r="Z6" s="80">
        <f>SUM(N6:Y6)</f>
        <v>6074</v>
      </c>
      <c r="AA6" s="28"/>
      <c r="AB6" s="85">
        <f t="shared" ref="AB6:AB12" si="0">SUM(F6:Y6)</f>
        <v>15335</v>
      </c>
      <c r="AC6" s="33"/>
      <c r="AD6" s="33"/>
      <c r="AE6" s="32"/>
    </row>
    <row r="7" spans="1:42" s="30" customFormat="1" ht="18" customHeight="1" x14ac:dyDescent="0.35">
      <c r="A7" s="105" t="s">
        <v>6</v>
      </c>
      <c r="B7" s="105"/>
      <c r="C7" s="105"/>
      <c r="D7" s="105"/>
      <c r="E7" s="27">
        <v>4</v>
      </c>
      <c r="F7" s="94">
        <v>879</v>
      </c>
      <c r="G7" s="95"/>
      <c r="H7" s="94">
        <v>956</v>
      </c>
      <c r="I7" s="95"/>
      <c r="J7" s="94">
        <v>1054</v>
      </c>
      <c r="K7" s="95"/>
      <c r="L7" s="94">
        <v>931</v>
      </c>
      <c r="M7" s="95"/>
      <c r="N7" s="91">
        <v>535</v>
      </c>
      <c r="O7" s="92"/>
      <c r="P7" s="93"/>
      <c r="Q7" s="91">
        <v>797</v>
      </c>
      <c r="R7" s="92"/>
      <c r="S7" s="93"/>
      <c r="T7" s="91">
        <v>625</v>
      </c>
      <c r="U7" s="92"/>
      <c r="V7" s="93"/>
      <c r="W7" s="91">
        <v>632</v>
      </c>
      <c r="X7" s="92"/>
      <c r="Y7" s="93"/>
      <c r="Z7" s="80">
        <f t="shared" ref="Z7:Z34" si="1">SUM(N7:Y7)</f>
        <v>2589</v>
      </c>
      <c r="AA7" s="28"/>
      <c r="AB7" s="85">
        <f t="shared" si="0"/>
        <v>6409</v>
      </c>
      <c r="AC7" s="32"/>
      <c r="AD7" s="32"/>
      <c r="AE7" s="32"/>
    </row>
    <row r="8" spans="1:42" s="30" customFormat="1" ht="18" customHeight="1" x14ac:dyDescent="0.35">
      <c r="A8" s="104" t="s">
        <v>7</v>
      </c>
      <c r="B8" s="105"/>
      <c r="C8" s="105"/>
      <c r="D8" s="105"/>
      <c r="E8" s="27">
        <v>5</v>
      </c>
      <c r="F8" s="94">
        <v>2</v>
      </c>
      <c r="G8" s="95"/>
      <c r="H8" s="94">
        <v>1</v>
      </c>
      <c r="I8" s="95"/>
      <c r="J8" s="94">
        <v>1</v>
      </c>
      <c r="K8" s="95"/>
      <c r="L8" s="94"/>
      <c r="M8" s="95"/>
      <c r="N8" s="91">
        <v>1</v>
      </c>
      <c r="O8" s="92"/>
      <c r="P8" s="93"/>
      <c r="Q8" s="91"/>
      <c r="R8" s="92"/>
      <c r="S8" s="93"/>
      <c r="T8" s="91">
        <v>2</v>
      </c>
      <c r="U8" s="92"/>
      <c r="V8" s="93"/>
      <c r="W8" s="91">
        <v>1</v>
      </c>
      <c r="X8" s="92"/>
      <c r="Y8" s="93"/>
      <c r="Z8" s="80">
        <f t="shared" si="1"/>
        <v>4</v>
      </c>
      <c r="AA8" s="28"/>
      <c r="AB8" s="85">
        <f t="shared" si="0"/>
        <v>8</v>
      </c>
      <c r="AC8" s="32"/>
      <c r="AD8" s="32"/>
      <c r="AE8" s="32"/>
    </row>
    <row r="9" spans="1:42" s="30" customFormat="1" ht="18" customHeight="1" x14ac:dyDescent="0.35">
      <c r="A9" s="111" t="s">
        <v>8</v>
      </c>
      <c r="B9" s="112"/>
      <c r="C9" s="113" t="s">
        <v>5</v>
      </c>
      <c r="D9" s="114"/>
      <c r="E9" s="27">
        <v>6</v>
      </c>
      <c r="F9" s="94">
        <v>21</v>
      </c>
      <c r="G9" s="95"/>
      <c r="H9" s="94">
        <v>15</v>
      </c>
      <c r="I9" s="95"/>
      <c r="J9" s="94">
        <v>23</v>
      </c>
      <c r="K9" s="95"/>
      <c r="L9" s="94">
        <v>13</v>
      </c>
      <c r="M9" s="95"/>
      <c r="N9" s="91">
        <v>8</v>
      </c>
      <c r="O9" s="92"/>
      <c r="P9" s="93"/>
      <c r="Q9" s="91">
        <v>18</v>
      </c>
      <c r="R9" s="92"/>
      <c r="S9" s="93"/>
      <c r="T9" s="91">
        <v>15</v>
      </c>
      <c r="U9" s="92"/>
      <c r="V9" s="93"/>
      <c r="W9" s="91">
        <v>18</v>
      </c>
      <c r="X9" s="92"/>
      <c r="Y9" s="93"/>
      <c r="Z9" s="80">
        <f t="shared" si="1"/>
        <v>59</v>
      </c>
      <c r="AA9" s="28"/>
      <c r="AB9" s="85">
        <f t="shared" si="0"/>
        <v>131</v>
      </c>
      <c r="AC9" s="32"/>
      <c r="AD9" s="32"/>
      <c r="AE9" s="32"/>
    </row>
    <row r="10" spans="1:42" s="30" customFormat="1" ht="18" customHeight="1" x14ac:dyDescent="0.35">
      <c r="A10" s="111"/>
      <c r="B10" s="112"/>
      <c r="C10" s="113" t="s">
        <v>9</v>
      </c>
      <c r="D10" s="114"/>
      <c r="E10" s="27">
        <v>7</v>
      </c>
      <c r="F10" s="94">
        <v>13</v>
      </c>
      <c r="G10" s="95"/>
      <c r="H10" s="94">
        <v>12</v>
      </c>
      <c r="I10" s="95"/>
      <c r="J10" s="94">
        <v>13</v>
      </c>
      <c r="K10" s="95"/>
      <c r="L10" s="94">
        <v>7</v>
      </c>
      <c r="M10" s="95"/>
      <c r="N10" s="91">
        <v>5</v>
      </c>
      <c r="O10" s="92"/>
      <c r="P10" s="93"/>
      <c r="Q10" s="91">
        <v>10</v>
      </c>
      <c r="R10" s="92"/>
      <c r="S10" s="93"/>
      <c r="T10" s="91">
        <v>5</v>
      </c>
      <c r="U10" s="92"/>
      <c r="V10" s="93"/>
      <c r="W10" s="91">
        <v>10</v>
      </c>
      <c r="X10" s="92"/>
      <c r="Y10" s="93"/>
      <c r="Z10" s="80">
        <f t="shared" si="1"/>
        <v>30</v>
      </c>
      <c r="AA10" s="28"/>
      <c r="AB10" s="85">
        <f t="shared" si="0"/>
        <v>75</v>
      </c>
    </row>
    <row r="11" spans="1:42" s="30" customFormat="1" ht="18" customHeight="1" x14ac:dyDescent="0.35">
      <c r="A11" s="111"/>
      <c r="B11" s="112"/>
      <c r="C11" s="113" t="s">
        <v>10</v>
      </c>
      <c r="D11" s="114"/>
      <c r="E11" s="27">
        <v>8</v>
      </c>
      <c r="F11" s="94">
        <v>13</v>
      </c>
      <c r="G11" s="95"/>
      <c r="H11" s="94">
        <v>12</v>
      </c>
      <c r="I11" s="95"/>
      <c r="J11" s="94">
        <v>13</v>
      </c>
      <c r="K11" s="95"/>
      <c r="L11" s="94">
        <v>7</v>
      </c>
      <c r="M11" s="95"/>
      <c r="N11" s="91">
        <v>5</v>
      </c>
      <c r="O11" s="92"/>
      <c r="P11" s="93"/>
      <c r="Q11" s="91">
        <v>10</v>
      </c>
      <c r="R11" s="92"/>
      <c r="S11" s="93"/>
      <c r="T11" s="91">
        <v>5</v>
      </c>
      <c r="U11" s="92"/>
      <c r="V11" s="93"/>
      <c r="W11" s="91">
        <v>10</v>
      </c>
      <c r="X11" s="92"/>
      <c r="Y11" s="93"/>
      <c r="Z11" s="80">
        <f t="shared" si="1"/>
        <v>30</v>
      </c>
      <c r="AA11" s="28"/>
      <c r="AB11" s="85">
        <f t="shared" si="0"/>
        <v>75</v>
      </c>
    </row>
    <row r="12" spans="1:42" s="30" customFormat="1" ht="18" customHeight="1" x14ac:dyDescent="0.35">
      <c r="A12" s="104" t="s">
        <v>11</v>
      </c>
      <c r="B12" s="105"/>
      <c r="C12" s="105"/>
      <c r="D12" s="105"/>
      <c r="E12" s="27">
        <v>9</v>
      </c>
      <c r="F12" s="94">
        <v>2086</v>
      </c>
      <c r="G12" s="95"/>
      <c r="H12" s="94">
        <v>2171</v>
      </c>
      <c r="I12" s="95"/>
      <c r="J12" s="94">
        <v>2478</v>
      </c>
      <c r="K12" s="95"/>
      <c r="L12" s="94">
        <v>1069</v>
      </c>
      <c r="M12" s="95"/>
      <c r="N12" s="91">
        <v>1223</v>
      </c>
      <c r="O12" s="92"/>
      <c r="P12" s="93"/>
      <c r="Q12" s="91">
        <v>1749</v>
      </c>
      <c r="R12" s="92"/>
      <c r="S12" s="93"/>
      <c r="T12" s="91">
        <v>1459</v>
      </c>
      <c r="U12" s="92"/>
      <c r="V12" s="93"/>
      <c r="W12" s="91">
        <v>1466</v>
      </c>
      <c r="X12" s="92"/>
      <c r="Y12" s="93"/>
      <c r="Z12" s="81">
        <f t="shared" si="1"/>
        <v>5897</v>
      </c>
      <c r="AA12" s="28"/>
      <c r="AB12" s="85">
        <f t="shared" si="0"/>
        <v>13701</v>
      </c>
    </row>
    <row r="13" spans="1:42" s="30" customFormat="1" ht="18" customHeight="1" x14ac:dyDescent="0.35">
      <c r="A13" s="111"/>
      <c r="B13" s="115"/>
      <c r="C13" s="115"/>
      <c r="D13" s="112"/>
      <c r="E13" s="27">
        <v>10</v>
      </c>
      <c r="F13" s="34" t="s">
        <v>12</v>
      </c>
      <c r="G13" s="35" t="s">
        <v>13</v>
      </c>
      <c r="H13" s="34" t="s">
        <v>12</v>
      </c>
      <c r="I13" s="35" t="s">
        <v>13</v>
      </c>
      <c r="J13" s="34" t="s">
        <v>12</v>
      </c>
      <c r="K13" s="35" t="s">
        <v>13</v>
      </c>
      <c r="L13" s="34" t="s">
        <v>12</v>
      </c>
      <c r="M13" s="35" t="s">
        <v>13</v>
      </c>
      <c r="N13" s="34" t="s">
        <v>12</v>
      </c>
      <c r="O13" s="36" t="s">
        <v>13</v>
      </c>
      <c r="P13" s="35" t="s">
        <v>14</v>
      </c>
      <c r="Q13" s="34" t="s">
        <v>12</v>
      </c>
      <c r="R13" s="36" t="s">
        <v>13</v>
      </c>
      <c r="S13" s="35" t="s">
        <v>14</v>
      </c>
      <c r="T13" s="34" t="s">
        <v>12</v>
      </c>
      <c r="U13" s="36" t="s">
        <v>13</v>
      </c>
      <c r="V13" s="35" t="s">
        <v>14</v>
      </c>
      <c r="W13" s="34" t="s">
        <v>12</v>
      </c>
      <c r="X13" s="36" t="s">
        <v>13</v>
      </c>
      <c r="Y13" s="35" t="s">
        <v>14</v>
      </c>
      <c r="Z13" s="81">
        <f t="shared" si="1"/>
        <v>0</v>
      </c>
      <c r="AA13" s="28"/>
      <c r="AB13" s="8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8"/>
    </row>
    <row r="14" spans="1:42" s="30" customFormat="1" ht="18" customHeight="1" x14ac:dyDescent="0.35">
      <c r="A14" s="116" t="s">
        <v>15</v>
      </c>
      <c r="B14" s="119" t="s">
        <v>16</v>
      </c>
      <c r="C14" s="122" t="s">
        <v>17</v>
      </c>
      <c r="D14" s="39" t="s">
        <v>18</v>
      </c>
      <c r="E14" s="40">
        <v>11</v>
      </c>
      <c r="F14" s="1">
        <v>2032</v>
      </c>
      <c r="G14" s="3"/>
      <c r="H14" s="1">
        <v>28</v>
      </c>
      <c r="I14" s="3"/>
      <c r="J14" s="1">
        <v>7</v>
      </c>
      <c r="K14" s="3"/>
      <c r="L14" s="1">
        <v>2</v>
      </c>
      <c r="M14" s="3"/>
      <c r="N14" s="1"/>
      <c r="O14" s="2"/>
      <c r="P14" s="3"/>
      <c r="Q14" s="1"/>
      <c r="R14" s="2"/>
      <c r="S14" s="3"/>
      <c r="T14" s="1"/>
      <c r="U14" s="2"/>
      <c r="V14" s="3"/>
      <c r="W14" s="1"/>
      <c r="X14" s="2"/>
      <c r="Y14" s="3"/>
      <c r="Z14" s="82">
        <f t="shared" si="1"/>
        <v>0</v>
      </c>
      <c r="AA14" s="28"/>
      <c r="AB14" s="85">
        <f>SUM(F14:Y14)</f>
        <v>2069</v>
      </c>
    </row>
    <row r="15" spans="1:42" s="30" customFormat="1" ht="18" customHeight="1" x14ac:dyDescent="0.35">
      <c r="A15" s="117"/>
      <c r="B15" s="120"/>
      <c r="C15" s="123"/>
      <c r="D15" s="41" t="s">
        <v>19</v>
      </c>
      <c r="E15" s="42">
        <v>12</v>
      </c>
      <c r="F15" s="4">
        <v>32</v>
      </c>
      <c r="G15" s="6"/>
      <c r="H15" s="4">
        <v>4</v>
      </c>
      <c r="I15" s="6"/>
      <c r="J15" s="4"/>
      <c r="K15" s="6"/>
      <c r="L15" s="4"/>
      <c r="M15" s="6"/>
      <c r="N15" s="4"/>
      <c r="O15" s="5"/>
      <c r="P15" s="6"/>
      <c r="Q15" s="4"/>
      <c r="R15" s="5"/>
      <c r="S15" s="6"/>
      <c r="T15" s="4"/>
      <c r="U15" s="5"/>
      <c r="V15" s="6"/>
      <c r="W15" s="4"/>
      <c r="X15" s="5"/>
      <c r="Y15" s="6"/>
      <c r="Z15" s="83">
        <f t="shared" si="1"/>
        <v>0</v>
      </c>
      <c r="AA15" s="28"/>
      <c r="AB15" s="85">
        <f t="shared" ref="AB15:AB34" si="2">SUM(F15:Y15)</f>
        <v>36</v>
      </c>
    </row>
    <row r="16" spans="1:42" s="30" customFormat="1" ht="18" customHeight="1" x14ac:dyDescent="0.35">
      <c r="A16" s="117"/>
      <c r="B16" s="121"/>
      <c r="C16" s="124" t="s">
        <v>20</v>
      </c>
      <c r="D16" s="125"/>
      <c r="E16" s="43">
        <v>13</v>
      </c>
      <c r="F16" s="7"/>
      <c r="G16" s="9"/>
      <c r="H16" s="7"/>
      <c r="I16" s="9"/>
      <c r="J16" s="7"/>
      <c r="K16" s="9"/>
      <c r="L16" s="7"/>
      <c r="M16" s="9"/>
      <c r="N16" s="7"/>
      <c r="O16" s="8"/>
      <c r="P16" s="9"/>
      <c r="Q16" s="7"/>
      <c r="R16" s="8"/>
      <c r="S16" s="9"/>
      <c r="T16" s="7"/>
      <c r="U16" s="8"/>
      <c r="V16" s="9"/>
      <c r="W16" s="7"/>
      <c r="X16" s="8"/>
      <c r="Y16" s="9"/>
      <c r="Z16" s="81">
        <f t="shared" si="1"/>
        <v>0</v>
      </c>
      <c r="AA16" s="28"/>
      <c r="AB16" s="85">
        <f t="shared" si="2"/>
        <v>0</v>
      </c>
    </row>
    <row r="17" spans="1:28" s="30" customFormat="1" ht="18" customHeight="1" x14ac:dyDescent="0.35">
      <c r="A17" s="117"/>
      <c r="B17" s="119" t="s">
        <v>21</v>
      </c>
      <c r="C17" s="122" t="s">
        <v>17</v>
      </c>
      <c r="D17" s="39" t="s">
        <v>18</v>
      </c>
      <c r="E17" s="40">
        <v>14</v>
      </c>
      <c r="F17" s="1"/>
      <c r="G17" s="3"/>
      <c r="H17" s="1">
        <v>2100</v>
      </c>
      <c r="I17" s="3"/>
      <c r="J17" s="1">
        <v>47</v>
      </c>
      <c r="K17" s="3"/>
      <c r="L17" s="1">
        <v>3</v>
      </c>
      <c r="M17" s="3"/>
      <c r="N17" s="1">
        <v>1</v>
      </c>
      <c r="O17" s="2"/>
      <c r="P17" s="3"/>
      <c r="Q17" s="1"/>
      <c r="R17" s="2"/>
      <c r="S17" s="3"/>
      <c r="T17" s="1"/>
      <c r="U17" s="2"/>
      <c r="V17" s="3"/>
      <c r="W17" s="1"/>
      <c r="X17" s="2"/>
      <c r="Y17" s="3"/>
      <c r="Z17" s="82">
        <f t="shared" si="1"/>
        <v>1</v>
      </c>
      <c r="AA17" s="28"/>
      <c r="AB17" s="85">
        <f t="shared" si="2"/>
        <v>2151</v>
      </c>
    </row>
    <row r="18" spans="1:28" s="30" customFormat="1" ht="18" customHeight="1" x14ac:dyDescent="0.35">
      <c r="A18" s="117"/>
      <c r="B18" s="120"/>
      <c r="C18" s="123"/>
      <c r="D18" s="41" t="s">
        <v>19</v>
      </c>
      <c r="E18" s="42">
        <v>15</v>
      </c>
      <c r="F18" s="4"/>
      <c r="G18" s="6"/>
      <c r="H18" s="4">
        <v>34</v>
      </c>
      <c r="I18" s="6"/>
      <c r="J18" s="4">
        <v>7</v>
      </c>
      <c r="K18" s="6"/>
      <c r="L18" s="4"/>
      <c r="M18" s="6"/>
      <c r="N18" s="4"/>
      <c r="O18" s="5"/>
      <c r="P18" s="6"/>
      <c r="Q18" s="4"/>
      <c r="R18" s="5"/>
      <c r="S18" s="6"/>
      <c r="T18" s="4"/>
      <c r="U18" s="5"/>
      <c r="V18" s="6"/>
      <c r="W18" s="4"/>
      <c r="X18" s="5"/>
      <c r="Y18" s="6"/>
      <c r="Z18" s="83">
        <f t="shared" si="1"/>
        <v>0</v>
      </c>
      <c r="AA18" s="28"/>
      <c r="AB18" s="85">
        <f t="shared" si="2"/>
        <v>41</v>
      </c>
    </row>
    <row r="19" spans="1:28" s="30" customFormat="1" ht="18" customHeight="1" x14ac:dyDescent="0.35">
      <c r="A19" s="117"/>
      <c r="B19" s="121"/>
      <c r="C19" s="124" t="s">
        <v>20</v>
      </c>
      <c r="D19" s="125"/>
      <c r="E19" s="43">
        <v>16</v>
      </c>
      <c r="F19" s="7"/>
      <c r="G19" s="9"/>
      <c r="H19" s="7"/>
      <c r="I19" s="9"/>
      <c r="J19" s="7"/>
      <c r="K19" s="9"/>
      <c r="L19" s="7"/>
      <c r="M19" s="9"/>
      <c r="N19" s="7"/>
      <c r="O19" s="8"/>
      <c r="P19" s="9"/>
      <c r="Q19" s="7"/>
      <c r="R19" s="8"/>
      <c r="S19" s="9"/>
      <c r="T19" s="7"/>
      <c r="U19" s="8"/>
      <c r="V19" s="9"/>
      <c r="W19" s="7"/>
      <c r="X19" s="8"/>
      <c r="Y19" s="9"/>
      <c r="Z19" s="81">
        <f t="shared" si="1"/>
        <v>0</v>
      </c>
      <c r="AA19" s="28"/>
      <c r="AB19" s="85">
        <f t="shared" si="2"/>
        <v>0</v>
      </c>
    </row>
    <row r="20" spans="1:28" s="30" customFormat="1" ht="18" customHeight="1" x14ac:dyDescent="0.35">
      <c r="A20" s="117"/>
      <c r="B20" s="119" t="s">
        <v>22</v>
      </c>
      <c r="C20" s="122" t="s">
        <v>17</v>
      </c>
      <c r="D20" s="39" t="s">
        <v>18</v>
      </c>
      <c r="E20" s="40">
        <v>17</v>
      </c>
      <c r="F20" s="1"/>
      <c r="G20" s="3"/>
      <c r="H20" s="1">
        <v>4</v>
      </c>
      <c r="I20" s="3"/>
      <c r="J20" s="1">
        <v>2014</v>
      </c>
      <c r="K20" s="3"/>
      <c r="L20" s="1">
        <v>52</v>
      </c>
      <c r="M20" s="3"/>
      <c r="N20" s="1">
        <v>2</v>
      </c>
      <c r="O20" s="2"/>
      <c r="P20" s="3"/>
      <c r="Q20" s="1"/>
      <c r="R20" s="2"/>
      <c r="S20" s="3"/>
      <c r="T20" s="1"/>
      <c r="U20" s="2"/>
      <c r="V20" s="3"/>
      <c r="W20" s="1"/>
      <c r="X20" s="2"/>
      <c r="Y20" s="3"/>
      <c r="Z20" s="82">
        <f t="shared" si="1"/>
        <v>2</v>
      </c>
      <c r="AA20" s="28"/>
      <c r="AB20" s="85">
        <f t="shared" si="2"/>
        <v>2072</v>
      </c>
    </row>
    <row r="21" spans="1:28" s="30" customFormat="1" ht="18" customHeight="1" x14ac:dyDescent="0.35">
      <c r="A21" s="117"/>
      <c r="B21" s="120"/>
      <c r="C21" s="123"/>
      <c r="D21" s="41" t="s">
        <v>19</v>
      </c>
      <c r="E21" s="42">
        <v>18</v>
      </c>
      <c r="F21" s="4"/>
      <c r="G21" s="6"/>
      <c r="H21" s="4"/>
      <c r="I21" s="6"/>
      <c r="J21" s="4">
        <v>400</v>
      </c>
      <c r="K21" s="6"/>
      <c r="L21" s="4"/>
      <c r="M21" s="6"/>
      <c r="N21" s="4"/>
      <c r="O21" s="5"/>
      <c r="P21" s="6"/>
      <c r="Q21" s="4"/>
      <c r="R21" s="5"/>
      <c r="S21" s="6"/>
      <c r="T21" s="4"/>
      <c r="U21" s="5"/>
      <c r="V21" s="6"/>
      <c r="W21" s="4"/>
      <c r="X21" s="5"/>
      <c r="Y21" s="6"/>
      <c r="Z21" s="83">
        <f t="shared" si="1"/>
        <v>0</v>
      </c>
      <c r="AA21" s="28"/>
      <c r="AB21" s="85">
        <f t="shared" si="2"/>
        <v>400</v>
      </c>
    </row>
    <row r="22" spans="1:28" s="30" customFormat="1" ht="18" customHeight="1" x14ac:dyDescent="0.35">
      <c r="A22" s="117"/>
      <c r="B22" s="121"/>
      <c r="C22" s="124" t="s">
        <v>20</v>
      </c>
      <c r="D22" s="125"/>
      <c r="E22" s="43">
        <v>19</v>
      </c>
      <c r="F22" s="7"/>
      <c r="G22" s="9"/>
      <c r="H22" s="7"/>
      <c r="I22" s="9"/>
      <c r="J22" s="7"/>
      <c r="K22" s="9"/>
      <c r="L22" s="7"/>
      <c r="M22" s="9"/>
      <c r="N22" s="7"/>
      <c r="O22" s="8"/>
      <c r="P22" s="9"/>
      <c r="Q22" s="7"/>
      <c r="R22" s="8"/>
      <c r="S22" s="9"/>
      <c r="T22" s="7"/>
      <c r="U22" s="8"/>
      <c r="V22" s="9"/>
      <c r="W22" s="7"/>
      <c r="X22" s="8"/>
      <c r="Y22" s="9"/>
      <c r="Z22" s="81">
        <f t="shared" si="1"/>
        <v>0</v>
      </c>
      <c r="AA22" s="28"/>
      <c r="AB22" s="85">
        <f t="shared" si="2"/>
        <v>0</v>
      </c>
    </row>
    <row r="23" spans="1:28" s="30" customFormat="1" ht="18" customHeight="1" x14ac:dyDescent="0.35">
      <c r="A23" s="117"/>
      <c r="B23" s="119" t="s">
        <v>23</v>
      </c>
      <c r="C23" s="122" t="s">
        <v>17</v>
      </c>
      <c r="D23" s="39" t="s">
        <v>18</v>
      </c>
      <c r="E23" s="40">
        <v>20</v>
      </c>
      <c r="F23" s="1"/>
      <c r="G23" s="3"/>
      <c r="H23" s="1"/>
      <c r="I23" s="3"/>
      <c r="J23" s="1"/>
      <c r="K23" s="3"/>
      <c r="L23" s="1">
        <v>1890</v>
      </c>
      <c r="M23" s="3"/>
      <c r="N23" s="1">
        <v>26</v>
      </c>
      <c r="O23" s="3"/>
      <c r="P23" s="1">
        <v>3</v>
      </c>
      <c r="Q23" s="1"/>
      <c r="R23" s="2"/>
      <c r="S23" s="3"/>
      <c r="T23" s="1"/>
      <c r="U23" s="2"/>
      <c r="V23" s="3"/>
      <c r="W23" s="1"/>
      <c r="X23" s="2"/>
      <c r="Y23" s="3"/>
      <c r="Z23" s="82">
        <f t="shared" si="1"/>
        <v>29</v>
      </c>
      <c r="AA23" s="28"/>
      <c r="AB23" s="85">
        <f t="shared" si="2"/>
        <v>1919</v>
      </c>
    </row>
    <row r="24" spans="1:28" s="30" customFormat="1" ht="18" customHeight="1" x14ac:dyDescent="0.35">
      <c r="A24" s="117"/>
      <c r="B24" s="120"/>
      <c r="C24" s="123"/>
      <c r="D24" s="41" t="s">
        <v>19</v>
      </c>
      <c r="E24" s="42">
        <v>21</v>
      </c>
      <c r="F24" s="4"/>
      <c r="G24" s="6"/>
      <c r="H24" s="4"/>
      <c r="I24" s="6"/>
      <c r="J24" s="4"/>
      <c r="K24" s="6"/>
      <c r="L24" s="4">
        <v>120</v>
      </c>
      <c r="M24" s="6"/>
      <c r="N24" s="4"/>
      <c r="O24" s="5"/>
      <c r="P24" s="6"/>
      <c r="Q24" s="4"/>
      <c r="R24" s="5"/>
      <c r="S24" s="6"/>
      <c r="T24" s="4"/>
      <c r="U24" s="5"/>
      <c r="V24" s="6"/>
      <c r="W24" s="4"/>
      <c r="X24" s="5"/>
      <c r="Y24" s="6"/>
      <c r="Z24" s="83">
        <f t="shared" si="1"/>
        <v>0</v>
      </c>
      <c r="AA24" s="28"/>
      <c r="AB24" s="85">
        <f t="shared" si="2"/>
        <v>120</v>
      </c>
    </row>
    <row r="25" spans="1:28" s="30" customFormat="1" ht="18" customHeight="1" x14ac:dyDescent="0.35">
      <c r="A25" s="117"/>
      <c r="B25" s="121"/>
      <c r="C25" s="124" t="s">
        <v>20</v>
      </c>
      <c r="D25" s="125"/>
      <c r="E25" s="43">
        <v>22</v>
      </c>
      <c r="F25" s="7"/>
      <c r="G25" s="9"/>
      <c r="H25" s="7"/>
      <c r="I25" s="9"/>
      <c r="J25" s="7"/>
      <c r="K25" s="9"/>
      <c r="L25" s="7"/>
      <c r="M25" s="9"/>
      <c r="N25" s="7"/>
      <c r="O25" s="8"/>
      <c r="P25" s="9"/>
      <c r="Q25" s="7"/>
      <c r="R25" s="8"/>
      <c r="S25" s="9"/>
      <c r="T25" s="7"/>
      <c r="U25" s="8"/>
      <c r="V25" s="9"/>
      <c r="W25" s="7"/>
      <c r="X25" s="8"/>
      <c r="Y25" s="9"/>
      <c r="Z25" s="81">
        <f t="shared" si="1"/>
        <v>0</v>
      </c>
      <c r="AA25" s="28"/>
      <c r="AB25" s="85">
        <f t="shared" si="2"/>
        <v>0</v>
      </c>
    </row>
    <row r="26" spans="1:28" s="30" customFormat="1" ht="18" customHeight="1" x14ac:dyDescent="0.35">
      <c r="A26" s="117"/>
      <c r="B26" s="119" t="s">
        <v>24</v>
      </c>
      <c r="C26" s="122" t="s">
        <v>17</v>
      </c>
      <c r="D26" s="39" t="s">
        <v>18</v>
      </c>
      <c r="E26" s="40">
        <v>23</v>
      </c>
      <c r="F26" s="1"/>
      <c r="G26" s="3"/>
      <c r="H26" s="1"/>
      <c r="I26" s="3"/>
      <c r="J26" s="1"/>
      <c r="K26" s="3"/>
      <c r="L26" s="1"/>
      <c r="M26" s="3"/>
      <c r="N26" s="1">
        <v>1100</v>
      </c>
      <c r="O26" s="2"/>
      <c r="P26" s="3"/>
      <c r="Q26" s="1">
        <v>1625</v>
      </c>
      <c r="R26" s="2"/>
      <c r="S26" s="3"/>
      <c r="T26" s="1">
        <v>1353</v>
      </c>
      <c r="U26" s="2"/>
      <c r="V26" s="3"/>
      <c r="W26" s="1">
        <v>1368</v>
      </c>
      <c r="X26" s="2"/>
      <c r="Y26" s="3"/>
      <c r="Z26" s="82">
        <f t="shared" si="1"/>
        <v>5446</v>
      </c>
      <c r="AA26" s="28"/>
      <c r="AB26" s="85">
        <f t="shared" si="2"/>
        <v>5446</v>
      </c>
    </row>
    <row r="27" spans="1:28" s="30" customFormat="1" ht="18" customHeight="1" x14ac:dyDescent="0.35">
      <c r="A27" s="117"/>
      <c r="B27" s="120"/>
      <c r="C27" s="123"/>
      <c r="D27" s="41" t="s">
        <v>19</v>
      </c>
      <c r="E27" s="42">
        <v>24</v>
      </c>
      <c r="F27" s="4"/>
      <c r="G27" s="6"/>
      <c r="H27" s="4"/>
      <c r="I27" s="6"/>
      <c r="J27" s="4"/>
      <c r="K27" s="6"/>
      <c r="L27" s="4"/>
      <c r="M27" s="6"/>
      <c r="N27" s="4">
        <v>89</v>
      </c>
      <c r="O27" s="5"/>
      <c r="P27" s="6"/>
      <c r="Q27" s="4">
        <v>100</v>
      </c>
      <c r="R27" s="5"/>
      <c r="S27" s="6"/>
      <c r="T27" s="4">
        <v>89</v>
      </c>
      <c r="U27" s="5"/>
      <c r="V27" s="6"/>
      <c r="W27" s="4">
        <v>98</v>
      </c>
      <c r="X27" s="5"/>
      <c r="Y27" s="6"/>
      <c r="Z27" s="83">
        <f t="shared" si="1"/>
        <v>376</v>
      </c>
      <c r="AA27" s="28"/>
      <c r="AB27" s="85">
        <f t="shared" si="2"/>
        <v>376</v>
      </c>
    </row>
    <row r="28" spans="1:28" s="30" customFormat="1" ht="18" customHeight="1" x14ac:dyDescent="0.35">
      <c r="A28" s="118"/>
      <c r="B28" s="121"/>
      <c r="C28" s="124" t="s">
        <v>20</v>
      </c>
      <c r="D28" s="125"/>
      <c r="E28" s="43">
        <v>25</v>
      </c>
      <c r="F28" s="7"/>
      <c r="G28" s="9"/>
      <c r="H28" s="7"/>
      <c r="I28" s="9"/>
      <c r="J28" s="7"/>
      <c r="K28" s="9"/>
      <c r="L28" s="7"/>
      <c r="M28" s="9"/>
      <c r="N28" s="7"/>
      <c r="O28" s="8"/>
      <c r="P28" s="9"/>
      <c r="Q28" s="7"/>
      <c r="R28" s="8"/>
      <c r="S28" s="9"/>
      <c r="T28" s="7"/>
      <c r="U28" s="8"/>
      <c r="V28" s="9"/>
      <c r="W28" s="7"/>
      <c r="X28" s="8"/>
      <c r="Y28" s="9"/>
      <c r="Z28" s="81">
        <f t="shared" si="1"/>
        <v>0</v>
      </c>
      <c r="AA28" s="28"/>
      <c r="AB28" s="85">
        <f t="shared" si="2"/>
        <v>0</v>
      </c>
    </row>
    <row r="29" spans="1:28" s="30" customFormat="1" ht="18" customHeight="1" x14ac:dyDescent="0.35">
      <c r="A29" s="129" t="s">
        <v>25</v>
      </c>
      <c r="B29" s="129"/>
      <c r="C29" s="132" t="s">
        <v>17</v>
      </c>
      <c r="D29" s="44" t="s">
        <v>18</v>
      </c>
      <c r="E29" s="40">
        <v>26</v>
      </c>
      <c r="F29" s="10"/>
      <c r="G29" s="12"/>
      <c r="H29" s="10"/>
      <c r="I29" s="12"/>
      <c r="J29" s="10"/>
      <c r="K29" s="12"/>
      <c r="L29" s="10"/>
      <c r="M29" s="12"/>
      <c r="N29" s="10">
        <v>1100</v>
      </c>
      <c r="O29" s="11"/>
      <c r="P29" s="12"/>
      <c r="Q29" s="10">
        <v>1622</v>
      </c>
      <c r="R29" s="11"/>
      <c r="S29" s="12"/>
      <c r="T29" s="10">
        <v>1400</v>
      </c>
      <c r="U29" s="11"/>
      <c r="V29" s="12"/>
      <c r="W29" s="10">
        <v>1400</v>
      </c>
      <c r="X29" s="11"/>
      <c r="Y29" s="12"/>
      <c r="Z29" s="82">
        <f t="shared" si="1"/>
        <v>5522</v>
      </c>
      <c r="AA29" s="28"/>
      <c r="AB29" s="85">
        <f t="shared" si="2"/>
        <v>5522</v>
      </c>
    </row>
    <row r="30" spans="1:28" s="30" customFormat="1" ht="18" customHeight="1" x14ac:dyDescent="0.35">
      <c r="A30" s="130"/>
      <c r="B30" s="130"/>
      <c r="C30" s="133"/>
      <c r="D30" s="45" t="s">
        <v>19</v>
      </c>
      <c r="E30" s="42">
        <v>27</v>
      </c>
      <c r="F30" s="13"/>
      <c r="G30" s="15"/>
      <c r="H30" s="13"/>
      <c r="I30" s="15"/>
      <c r="J30" s="13"/>
      <c r="K30" s="15"/>
      <c r="L30" s="13"/>
      <c r="M30" s="15"/>
      <c r="N30" s="13">
        <v>86</v>
      </c>
      <c r="O30" s="14"/>
      <c r="P30" s="15"/>
      <c r="Q30" s="13">
        <v>100</v>
      </c>
      <c r="R30" s="14"/>
      <c r="S30" s="15"/>
      <c r="T30" s="13">
        <v>35</v>
      </c>
      <c r="U30" s="14"/>
      <c r="V30" s="15"/>
      <c r="W30" s="13">
        <v>51</v>
      </c>
      <c r="X30" s="14"/>
      <c r="Y30" s="15"/>
      <c r="Z30" s="83">
        <f t="shared" si="1"/>
        <v>272</v>
      </c>
      <c r="AA30" s="28"/>
      <c r="AB30" s="85">
        <f t="shared" si="2"/>
        <v>272</v>
      </c>
    </row>
    <row r="31" spans="1:28" s="30" customFormat="1" ht="18" customHeight="1" x14ac:dyDescent="0.35">
      <c r="A31" s="131"/>
      <c r="B31" s="131"/>
      <c r="C31" s="134" t="s">
        <v>20</v>
      </c>
      <c r="D31" s="135"/>
      <c r="E31" s="43">
        <v>28</v>
      </c>
      <c r="F31" s="16"/>
      <c r="G31" s="18"/>
      <c r="H31" s="16"/>
      <c r="I31" s="18"/>
      <c r="J31" s="16"/>
      <c r="K31" s="18"/>
      <c r="L31" s="16"/>
      <c r="M31" s="18"/>
      <c r="N31" s="16"/>
      <c r="O31" s="17"/>
      <c r="P31" s="18"/>
      <c r="Q31" s="16"/>
      <c r="R31" s="17"/>
      <c r="S31" s="18"/>
      <c r="T31" s="16"/>
      <c r="U31" s="17"/>
      <c r="V31" s="18"/>
      <c r="W31" s="16"/>
      <c r="X31" s="17"/>
      <c r="Y31" s="18"/>
      <c r="Z31" s="81">
        <f t="shared" si="1"/>
        <v>0</v>
      </c>
      <c r="AA31" s="28"/>
      <c r="AB31" s="85">
        <f t="shared" si="2"/>
        <v>0</v>
      </c>
    </row>
    <row r="32" spans="1:28" s="30" customFormat="1" ht="18" customHeight="1" x14ac:dyDescent="0.35">
      <c r="A32" s="136" t="s">
        <v>26</v>
      </c>
      <c r="B32" s="136"/>
      <c r="C32" s="122" t="s">
        <v>27</v>
      </c>
      <c r="D32" s="46" t="s">
        <v>18</v>
      </c>
      <c r="E32" s="47">
        <v>29</v>
      </c>
      <c r="F32" s="1"/>
      <c r="G32" s="3"/>
      <c r="H32" s="1"/>
      <c r="I32" s="3"/>
      <c r="J32" s="1">
        <v>2</v>
      </c>
      <c r="K32" s="3"/>
      <c r="L32" s="1">
        <v>2</v>
      </c>
      <c r="M32" s="3"/>
      <c r="N32" s="1">
        <v>5</v>
      </c>
      <c r="O32" s="2"/>
      <c r="P32" s="3"/>
      <c r="Q32" s="1">
        <v>21</v>
      </c>
      <c r="R32" s="2"/>
      <c r="S32" s="3"/>
      <c r="T32" s="1">
        <v>18</v>
      </c>
      <c r="U32" s="2"/>
      <c r="V32" s="3"/>
      <c r="W32" s="1">
        <v>17</v>
      </c>
      <c r="X32" s="2"/>
      <c r="Y32" s="3"/>
      <c r="Z32" s="82">
        <f t="shared" si="1"/>
        <v>61</v>
      </c>
      <c r="AA32" s="28"/>
      <c r="AB32" s="85">
        <f t="shared" si="2"/>
        <v>65</v>
      </c>
    </row>
    <row r="33" spans="1:28" s="30" customFormat="1" ht="18" customHeight="1" x14ac:dyDescent="0.35">
      <c r="A33" s="137"/>
      <c r="B33" s="137"/>
      <c r="C33" s="123"/>
      <c r="D33" s="48" t="s">
        <v>28</v>
      </c>
      <c r="E33" s="49">
        <v>30</v>
      </c>
      <c r="F33" s="4"/>
      <c r="G33" s="6"/>
      <c r="H33" s="4"/>
      <c r="I33" s="6"/>
      <c r="J33" s="4"/>
      <c r="K33" s="6"/>
      <c r="L33" s="4"/>
      <c r="M33" s="6"/>
      <c r="N33" s="4"/>
      <c r="O33" s="5"/>
      <c r="P33" s="6"/>
      <c r="Q33" s="4"/>
      <c r="R33" s="5"/>
      <c r="S33" s="6"/>
      <c r="T33" s="4"/>
      <c r="U33" s="5"/>
      <c r="V33" s="6"/>
      <c r="W33" s="4"/>
      <c r="X33" s="5"/>
      <c r="Y33" s="6"/>
      <c r="Z33" s="83">
        <f t="shared" si="1"/>
        <v>0</v>
      </c>
      <c r="AA33" s="28"/>
      <c r="AB33" s="85">
        <f t="shared" si="2"/>
        <v>0</v>
      </c>
    </row>
    <row r="34" spans="1:28" s="30" customFormat="1" ht="18" customHeight="1" x14ac:dyDescent="0.35">
      <c r="A34" s="138"/>
      <c r="B34" s="138"/>
      <c r="C34" s="139" t="s">
        <v>20</v>
      </c>
      <c r="D34" s="140"/>
      <c r="E34" s="50">
        <v>31</v>
      </c>
      <c r="F34" s="7"/>
      <c r="G34" s="9"/>
      <c r="H34" s="7"/>
      <c r="I34" s="9"/>
      <c r="J34" s="7"/>
      <c r="K34" s="9"/>
      <c r="L34" s="7"/>
      <c r="M34" s="9"/>
      <c r="N34" s="7"/>
      <c r="O34" s="8"/>
      <c r="P34" s="9"/>
      <c r="Q34" s="7"/>
      <c r="R34" s="8"/>
      <c r="S34" s="9"/>
      <c r="T34" s="7"/>
      <c r="U34" s="8"/>
      <c r="V34" s="9"/>
      <c r="W34" s="7"/>
      <c r="X34" s="8"/>
      <c r="Y34" s="9"/>
      <c r="Z34" s="81">
        <f t="shared" si="1"/>
        <v>0</v>
      </c>
      <c r="AA34" s="28"/>
      <c r="AB34" s="85">
        <f t="shared" si="2"/>
        <v>0</v>
      </c>
    </row>
    <row r="35" spans="1:28" s="30" customFormat="1" ht="18" customHeight="1" x14ac:dyDescent="0.35">
      <c r="A35" s="145" t="s">
        <v>29</v>
      </c>
      <c r="B35" s="145"/>
      <c r="C35" s="145"/>
      <c r="D35" s="145"/>
      <c r="E35" s="145"/>
      <c r="F35" s="145"/>
      <c r="G35" s="145"/>
      <c r="H35" s="145"/>
      <c r="I35" s="51"/>
      <c r="J35" s="51"/>
      <c r="K35" s="51"/>
      <c r="L35" s="51"/>
      <c r="M35" s="51"/>
      <c r="N35" s="52"/>
      <c r="O35" s="52"/>
      <c r="P35" s="52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28"/>
      <c r="AB35" s="86"/>
    </row>
    <row r="36" spans="1:28" s="30" customFormat="1" ht="18" customHeight="1" x14ac:dyDescent="0.35">
      <c r="A36" s="126" t="s">
        <v>30</v>
      </c>
      <c r="B36" s="127"/>
      <c r="C36" s="127"/>
      <c r="D36" s="127"/>
      <c r="E36" s="127"/>
      <c r="F36" s="128"/>
      <c r="G36" s="110">
        <v>3</v>
      </c>
      <c r="H36" s="110"/>
      <c r="O36" s="57"/>
      <c r="P36" s="57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28"/>
      <c r="AB36" s="86"/>
    </row>
    <row r="37" spans="1:28" s="30" customFormat="1" ht="18" customHeight="1" x14ac:dyDescent="0.35">
      <c r="A37" s="126" t="s">
        <v>31</v>
      </c>
      <c r="B37" s="127"/>
      <c r="C37" s="127"/>
      <c r="D37" s="127"/>
      <c r="E37" s="127"/>
      <c r="F37" s="128"/>
      <c r="G37" s="110">
        <v>2</v>
      </c>
      <c r="H37" s="110"/>
      <c r="I37" s="59"/>
      <c r="J37" s="60"/>
      <c r="K37" s="60"/>
      <c r="L37" s="60"/>
      <c r="M37" s="60"/>
      <c r="N37" s="60"/>
      <c r="O37" s="57"/>
      <c r="P37" s="57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28"/>
      <c r="AB37" s="85">
        <f>AB14+AB15+AB16+AB17+AB18+AB19+AB20+AB21+AB22+AB23+AB24+AB25+AB29</f>
        <v>14330</v>
      </c>
    </row>
    <row r="38" spans="1:28" s="30" customFormat="1" ht="18" customHeight="1" x14ac:dyDescent="0.35">
      <c r="A38" s="54"/>
      <c r="B38" s="55"/>
      <c r="C38" s="55"/>
      <c r="D38" s="55"/>
      <c r="E38" s="55"/>
      <c r="F38" s="56"/>
      <c r="G38" s="61" t="s">
        <v>32</v>
      </c>
      <c r="H38" s="61" t="s">
        <v>33</v>
      </c>
      <c r="I38" s="62"/>
      <c r="J38" s="62"/>
      <c r="K38" s="62"/>
      <c r="L38" s="62"/>
      <c r="M38" s="62"/>
      <c r="N38" s="63"/>
      <c r="O38" s="63"/>
      <c r="P38" s="63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28"/>
      <c r="AB38" s="86"/>
    </row>
    <row r="39" spans="1:28" s="30" customFormat="1" ht="18" customHeight="1" x14ac:dyDescent="0.35">
      <c r="A39" s="126" t="s">
        <v>34</v>
      </c>
      <c r="B39" s="127"/>
      <c r="C39" s="127"/>
      <c r="D39" s="127"/>
      <c r="E39" s="127"/>
      <c r="F39" s="128"/>
      <c r="G39" s="80">
        <f>Z26+Z27</f>
        <v>5822</v>
      </c>
      <c r="H39" s="87">
        <f>G39/Z12%</f>
        <v>98.728166864507372</v>
      </c>
      <c r="I39" s="62"/>
      <c r="J39" s="62"/>
      <c r="K39" s="62"/>
      <c r="L39" s="62"/>
      <c r="M39" s="62"/>
      <c r="N39" s="65"/>
      <c r="O39" s="65"/>
      <c r="P39" s="65"/>
      <c r="Q39" s="66"/>
      <c r="R39" s="66"/>
      <c r="S39" s="63"/>
      <c r="T39" s="66"/>
      <c r="U39" s="66"/>
      <c r="V39" s="67"/>
      <c r="W39" s="67"/>
      <c r="X39" s="67"/>
      <c r="Y39" s="67"/>
      <c r="Z39" s="67"/>
      <c r="AA39" s="28"/>
      <c r="AB39" s="84"/>
    </row>
    <row r="40" spans="1:28" s="30" customFormat="1" ht="22.9" customHeight="1" x14ac:dyDescent="0.35">
      <c r="A40" s="142" t="s">
        <v>35</v>
      </c>
      <c r="B40" s="143"/>
      <c r="C40" s="143"/>
      <c r="D40" s="143"/>
      <c r="E40" s="143"/>
      <c r="F40" s="144"/>
      <c r="G40" s="88">
        <f>Z29+Z30</f>
        <v>5794</v>
      </c>
      <c r="H40" s="89">
        <f>G40/Z12%</f>
        <v>98.253349160590133</v>
      </c>
      <c r="I40" s="68"/>
      <c r="J40" s="62"/>
      <c r="K40" s="62"/>
      <c r="L40" s="62"/>
      <c r="M40" s="62"/>
      <c r="N40" s="65"/>
      <c r="O40" s="65"/>
      <c r="P40" s="65"/>
      <c r="Q40" s="66"/>
      <c r="R40" s="66"/>
      <c r="S40" s="63"/>
      <c r="T40" s="66"/>
      <c r="U40" s="66"/>
      <c r="V40" s="67"/>
      <c r="W40" s="67"/>
      <c r="X40" s="67"/>
      <c r="Y40" s="67"/>
      <c r="Z40" s="67"/>
      <c r="AA40" s="28"/>
      <c r="AB40" s="84"/>
    </row>
    <row r="41" spans="1:28" s="30" customFormat="1" ht="18" customHeight="1" x14ac:dyDescent="0.35">
      <c r="A41" s="126" t="s">
        <v>36</v>
      </c>
      <c r="B41" s="127"/>
      <c r="C41" s="127"/>
      <c r="D41" s="127"/>
      <c r="E41" s="127"/>
      <c r="F41" s="128"/>
      <c r="G41" s="80">
        <f>AB11</f>
        <v>75</v>
      </c>
      <c r="H41" s="90">
        <f>AB11/AB10%</f>
        <v>100</v>
      </c>
      <c r="I41" s="62"/>
      <c r="J41" s="62"/>
      <c r="K41" s="62"/>
      <c r="L41" s="62"/>
      <c r="M41" s="62"/>
      <c r="N41" s="63"/>
      <c r="O41" s="63"/>
      <c r="P41" s="63"/>
      <c r="Q41" s="66"/>
      <c r="R41" s="66"/>
      <c r="S41" s="63"/>
      <c r="T41" s="69"/>
      <c r="U41" s="69"/>
      <c r="V41" s="66"/>
      <c r="W41" s="66"/>
      <c r="X41" s="66"/>
      <c r="Y41" s="66"/>
      <c r="Z41" s="66"/>
      <c r="AA41" s="28"/>
      <c r="AB41" s="29"/>
    </row>
    <row r="42" spans="1:28" s="30" customFormat="1" ht="18" customHeight="1" x14ac:dyDescent="0.35">
      <c r="A42" s="126" t="s">
        <v>37</v>
      </c>
      <c r="B42" s="127"/>
      <c r="C42" s="127"/>
      <c r="D42" s="127"/>
      <c r="E42" s="127"/>
      <c r="F42" s="128"/>
      <c r="G42" s="80">
        <f>AB14+AB15+AB17+AB18+AB20+AB21+AB23+AB24+AB29</f>
        <v>14330</v>
      </c>
      <c r="H42" s="90"/>
      <c r="I42" s="59"/>
      <c r="J42" s="60"/>
      <c r="K42" s="60"/>
      <c r="L42" s="60"/>
      <c r="M42" s="60"/>
      <c r="N42" s="60"/>
      <c r="O42" s="57"/>
      <c r="P42" s="57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28"/>
      <c r="AB42" s="29"/>
    </row>
    <row r="43" spans="1:28" ht="14.5" customHeight="1" x14ac:dyDescent="0.35">
      <c r="A43" s="23"/>
      <c r="B43" s="23"/>
      <c r="C43" s="23"/>
      <c r="D43" s="23"/>
      <c r="E43" s="23"/>
      <c r="F43" s="70"/>
      <c r="G43" s="70"/>
      <c r="H43" s="70"/>
      <c r="I43" s="70"/>
      <c r="J43" s="70"/>
      <c r="K43" s="70"/>
      <c r="L43" s="70"/>
      <c r="M43" s="108" t="s">
        <v>45</v>
      </c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71"/>
    </row>
    <row r="44" spans="1:28" ht="18.649999999999999" customHeight="1" x14ac:dyDescent="0.35">
      <c r="A44" s="23"/>
      <c r="B44" s="23"/>
      <c r="C44" s="23"/>
      <c r="D44" s="23"/>
      <c r="E44" s="23"/>
      <c r="F44" s="23"/>
      <c r="G44" s="72"/>
      <c r="H44" s="72"/>
      <c r="I44" s="72"/>
      <c r="J44" s="72"/>
      <c r="K44" s="72"/>
      <c r="L44" s="72"/>
      <c r="M44" s="146" t="s">
        <v>43</v>
      </c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71"/>
    </row>
    <row r="45" spans="1:28" ht="17.5" customHeight="1" x14ac:dyDescent="0.35">
      <c r="A45" s="23"/>
      <c r="B45" s="23"/>
      <c r="C45" s="23"/>
      <c r="D45" s="146" t="s">
        <v>40</v>
      </c>
      <c r="E45" s="146"/>
      <c r="F45" s="146"/>
      <c r="G45" s="146"/>
      <c r="H45" s="146"/>
      <c r="I45" s="146"/>
      <c r="J45" s="73"/>
      <c r="K45" s="73"/>
      <c r="L45" s="73"/>
      <c r="M45" s="146" t="s">
        <v>41</v>
      </c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71"/>
    </row>
    <row r="46" spans="1:28" ht="14.5" customHeight="1" x14ac:dyDescent="0.35">
      <c r="A46" s="23"/>
      <c r="B46" s="23"/>
      <c r="C46" s="23"/>
      <c r="D46" s="23"/>
      <c r="E46" s="23"/>
      <c r="F46" s="23"/>
      <c r="G46" s="74"/>
      <c r="H46" s="74"/>
      <c r="I46" s="74"/>
      <c r="J46" s="74"/>
      <c r="K46" s="74"/>
      <c r="L46" s="74"/>
      <c r="M46" s="147" t="s">
        <v>42</v>
      </c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71"/>
    </row>
    <row r="47" spans="1:28" ht="14.5" customHeight="1" x14ac:dyDescent="0.35">
      <c r="A47" s="23"/>
      <c r="B47" s="23"/>
      <c r="C47" s="23"/>
      <c r="D47" s="23"/>
      <c r="E47" s="23"/>
      <c r="F47" s="23"/>
      <c r="G47" s="75"/>
      <c r="H47" s="75"/>
      <c r="I47" s="75"/>
      <c r="J47" s="75"/>
      <c r="K47" s="75"/>
      <c r="L47" s="76"/>
      <c r="M47" s="75"/>
      <c r="N47" s="75"/>
      <c r="O47" s="75"/>
      <c r="P47" s="75"/>
      <c r="Q47" s="75"/>
      <c r="R47" s="76"/>
      <c r="S47" s="23"/>
      <c r="T47" s="23"/>
      <c r="U47" s="23"/>
      <c r="V47" s="23"/>
      <c r="W47" s="23"/>
      <c r="X47" s="23"/>
      <c r="Y47" s="23"/>
      <c r="Z47" s="23"/>
      <c r="AA47" s="71"/>
    </row>
    <row r="48" spans="1:28" ht="25.15" customHeight="1" x14ac:dyDescent="0.35">
      <c r="A48" s="23"/>
      <c r="B48" s="23"/>
      <c r="C48" s="23"/>
      <c r="D48" s="23"/>
      <c r="E48" s="23"/>
      <c r="F48" s="23"/>
      <c r="G48" s="75"/>
      <c r="H48" s="75"/>
      <c r="I48" s="75"/>
      <c r="J48" s="75"/>
      <c r="K48" s="75"/>
      <c r="L48" s="76"/>
      <c r="M48" s="75"/>
      <c r="N48" s="75"/>
      <c r="O48" s="75"/>
      <c r="P48" s="75"/>
      <c r="Q48" s="75"/>
      <c r="R48" s="76"/>
      <c r="S48" s="23"/>
      <c r="T48" s="23"/>
      <c r="U48" s="23"/>
      <c r="V48" s="23"/>
      <c r="W48" s="23"/>
      <c r="X48" s="23"/>
      <c r="Y48" s="23"/>
      <c r="Z48" s="23"/>
      <c r="AA48" s="71"/>
    </row>
    <row r="49" spans="1:27" ht="14.5" customHeight="1" x14ac:dyDescent="0.35">
      <c r="A49" s="23"/>
      <c r="B49" s="23"/>
      <c r="C49" s="23"/>
      <c r="D49" s="23"/>
      <c r="E49" s="23"/>
      <c r="F49" s="23"/>
      <c r="G49" s="75"/>
      <c r="H49" s="75"/>
      <c r="I49" s="75"/>
      <c r="J49" s="75"/>
      <c r="K49" s="75"/>
      <c r="L49" s="76"/>
      <c r="M49" s="75"/>
      <c r="N49" s="75"/>
      <c r="O49" s="75"/>
      <c r="P49" s="75"/>
      <c r="Q49" s="75"/>
      <c r="R49" s="76"/>
      <c r="S49" s="23"/>
      <c r="T49" s="23"/>
      <c r="U49" s="23"/>
      <c r="V49" s="23"/>
      <c r="W49" s="23"/>
      <c r="X49" s="23"/>
      <c r="Y49" s="23"/>
      <c r="Z49" s="23"/>
      <c r="AA49" s="71"/>
    </row>
    <row r="50" spans="1:27" ht="14.5" customHeight="1" x14ac:dyDescent="0.35">
      <c r="A50" s="23"/>
      <c r="B50" s="23"/>
      <c r="C50" s="23"/>
      <c r="D50" s="23"/>
      <c r="E50" s="23"/>
      <c r="F50" s="23"/>
      <c r="G50" s="73"/>
      <c r="H50" s="73"/>
      <c r="I50" s="73"/>
      <c r="J50" s="73"/>
      <c r="K50" s="73"/>
      <c r="L50" s="73"/>
      <c r="AA50" s="71"/>
    </row>
    <row r="51" spans="1:27" ht="14.5" customHeight="1" x14ac:dyDescent="0.35">
      <c r="A51" s="23"/>
      <c r="B51" s="23"/>
      <c r="C51" s="23"/>
      <c r="D51" s="146" t="s">
        <v>47</v>
      </c>
      <c r="E51" s="146"/>
      <c r="F51" s="146"/>
      <c r="G51" s="146"/>
      <c r="H51" s="146"/>
      <c r="I51" s="146"/>
      <c r="J51" s="73"/>
      <c r="K51" s="73"/>
      <c r="L51" s="73"/>
      <c r="M51" s="146" t="s">
        <v>46</v>
      </c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71"/>
    </row>
    <row r="52" spans="1:27" ht="14.5" customHeight="1" x14ac:dyDescent="0.35">
      <c r="A52" s="23"/>
      <c r="B52" s="23"/>
      <c r="C52" s="23"/>
      <c r="D52" s="23"/>
      <c r="E52" s="23"/>
      <c r="F52" s="70"/>
      <c r="G52" s="70"/>
      <c r="H52" s="70"/>
      <c r="I52" s="70"/>
      <c r="J52" s="70"/>
      <c r="K52" s="70"/>
      <c r="L52" s="70"/>
      <c r="M52" s="70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71"/>
    </row>
    <row r="53" spans="1:27" ht="14.5" customHeight="1" x14ac:dyDescent="0.35">
      <c r="A53" s="23"/>
      <c r="B53" s="23"/>
      <c r="C53" s="23"/>
      <c r="D53" s="23"/>
      <c r="E53" s="23"/>
      <c r="F53" s="70"/>
      <c r="G53" s="70"/>
      <c r="H53" s="70"/>
      <c r="I53" s="70"/>
      <c r="J53" s="70"/>
      <c r="K53" s="70"/>
      <c r="L53" s="70"/>
      <c r="M53" s="70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71"/>
    </row>
    <row r="54" spans="1:27" ht="14.5" customHeight="1" x14ac:dyDescent="0.35">
      <c r="A54" s="23"/>
      <c r="B54" s="23"/>
      <c r="C54" s="23"/>
      <c r="D54" s="23"/>
      <c r="E54" s="23"/>
      <c r="F54" s="70"/>
      <c r="G54" s="70"/>
      <c r="H54" s="70"/>
      <c r="I54" s="70"/>
      <c r="J54" s="70"/>
      <c r="K54" s="70"/>
      <c r="L54" s="70"/>
      <c r="M54" s="70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71"/>
    </row>
    <row r="55" spans="1:27" ht="14.5" customHeight="1" x14ac:dyDescent="0.35">
      <c r="A55" s="23"/>
      <c r="B55" s="23"/>
      <c r="C55" s="23"/>
      <c r="D55" s="23"/>
      <c r="E55" s="23"/>
      <c r="F55" s="70"/>
      <c r="G55" s="70"/>
      <c r="H55" s="70"/>
      <c r="I55" s="70"/>
      <c r="J55" s="70"/>
      <c r="K55" s="70"/>
      <c r="L55" s="70"/>
      <c r="M55" s="70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71"/>
    </row>
    <row r="56" spans="1:27" ht="14.5" customHeight="1" x14ac:dyDescent="0.35">
      <c r="A56" s="23"/>
      <c r="B56" s="23"/>
      <c r="C56" s="23"/>
      <c r="D56" s="23"/>
      <c r="E56" s="23"/>
      <c r="F56" s="70"/>
      <c r="G56" s="70"/>
      <c r="H56" s="70"/>
      <c r="I56" s="70"/>
      <c r="J56" s="70"/>
      <c r="K56" s="70"/>
      <c r="L56" s="70"/>
      <c r="M56" s="70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71"/>
    </row>
    <row r="57" spans="1:27" ht="14.5" customHeight="1" x14ac:dyDescent="0.35">
      <c r="A57" s="23"/>
      <c r="B57" s="23"/>
      <c r="C57" s="23"/>
      <c r="D57" s="23"/>
      <c r="E57" s="23"/>
      <c r="F57" s="70"/>
      <c r="G57" s="70"/>
      <c r="H57" s="70"/>
      <c r="I57" s="70"/>
      <c r="J57" s="70"/>
      <c r="K57" s="70"/>
      <c r="L57" s="70"/>
      <c r="M57" s="70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71"/>
    </row>
    <row r="58" spans="1:27" ht="14.5" customHeight="1" x14ac:dyDescent="0.35">
      <c r="A58" s="23"/>
      <c r="B58" s="23"/>
      <c r="C58" s="23"/>
      <c r="D58" s="23"/>
      <c r="E58" s="23"/>
      <c r="F58" s="70"/>
      <c r="G58" s="70"/>
      <c r="H58" s="70"/>
      <c r="I58" s="70"/>
      <c r="J58" s="70"/>
      <c r="K58" s="70"/>
      <c r="L58" s="70"/>
      <c r="M58" s="70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71"/>
    </row>
    <row r="59" spans="1:27" ht="14.5" customHeight="1" x14ac:dyDescent="0.35">
      <c r="A59" s="23"/>
      <c r="B59" s="23"/>
      <c r="C59" s="23"/>
      <c r="D59" s="23"/>
      <c r="E59" s="23"/>
      <c r="F59" s="70"/>
      <c r="G59" s="70"/>
      <c r="H59" s="70"/>
      <c r="I59" s="70"/>
      <c r="J59" s="70"/>
      <c r="K59" s="70"/>
      <c r="L59" s="70"/>
      <c r="M59" s="70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71"/>
    </row>
    <row r="60" spans="1:27" ht="14.5" customHeight="1" x14ac:dyDescent="0.35">
      <c r="A60" s="23"/>
      <c r="B60" s="23"/>
      <c r="C60" s="23"/>
      <c r="D60" s="23"/>
      <c r="E60" s="23"/>
      <c r="F60" s="70"/>
      <c r="G60" s="70"/>
      <c r="H60" s="70"/>
      <c r="I60" s="70"/>
      <c r="J60" s="70"/>
      <c r="K60" s="70"/>
      <c r="L60" s="70"/>
      <c r="M60" s="70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71"/>
    </row>
    <row r="61" spans="1:27" ht="14.5" customHeight="1" x14ac:dyDescent="0.35">
      <c r="A61" s="23"/>
      <c r="B61" s="23"/>
      <c r="C61" s="23"/>
      <c r="D61" s="23"/>
      <c r="E61" s="23"/>
      <c r="F61" s="70"/>
      <c r="G61" s="70"/>
      <c r="H61" s="70"/>
      <c r="I61" s="70"/>
      <c r="J61" s="70"/>
      <c r="K61" s="70"/>
      <c r="L61" s="70"/>
      <c r="M61" s="70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71"/>
    </row>
    <row r="62" spans="1:27" ht="14.5" customHeight="1" x14ac:dyDescent="0.35">
      <c r="A62" s="23"/>
      <c r="B62" s="23"/>
      <c r="C62" s="23"/>
      <c r="D62" s="23"/>
      <c r="E62" s="23"/>
      <c r="F62" s="70"/>
      <c r="G62" s="70"/>
      <c r="H62" s="70"/>
      <c r="I62" s="70"/>
      <c r="J62" s="70"/>
      <c r="K62" s="70"/>
      <c r="L62" s="70"/>
      <c r="M62" s="70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71"/>
    </row>
    <row r="63" spans="1:27" ht="14.5" customHeight="1" x14ac:dyDescent="0.35">
      <c r="A63" s="23"/>
      <c r="B63" s="23"/>
      <c r="C63" s="23"/>
      <c r="D63" s="23"/>
      <c r="E63" s="23"/>
      <c r="F63" s="70"/>
      <c r="G63" s="70"/>
      <c r="H63" s="70"/>
      <c r="I63" s="70"/>
      <c r="J63" s="70"/>
      <c r="K63" s="70"/>
      <c r="L63" s="70"/>
      <c r="M63" s="70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71"/>
    </row>
    <row r="64" spans="1:27" ht="14.5" customHeight="1" x14ac:dyDescent="0.35">
      <c r="A64" s="23"/>
      <c r="B64" s="23"/>
      <c r="C64" s="23"/>
      <c r="D64" s="23"/>
      <c r="E64" s="23"/>
      <c r="F64" s="70"/>
      <c r="G64" s="70"/>
      <c r="H64" s="70"/>
      <c r="I64" s="70"/>
      <c r="J64" s="70"/>
      <c r="K64" s="70"/>
      <c r="L64" s="70"/>
      <c r="M64" s="70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71"/>
    </row>
    <row r="65" spans="1:27" ht="14.5" customHeight="1" x14ac:dyDescent="0.35">
      <c r="A65" s="23"/>
      <c r="B65" s="23"/>
      <c r="C65" s="23"/>
      <c r="D65" s="23"/>
      <c r="E65" s="23"/>
      <c r="F65" s="70"/>
      <c r="G65" s="70"/>
      <c r="H65" s="70"/>
      <c r="I65" s="70"/>
      <c r="J65" s="70"/>
      <c r="K65" s="70"/>
      <c r="L65" s="70"/>
      <c r="M65" s="70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71"/>
    </row>
    <row r="66" spans="1:27" ht="14.5" customHeight="1" x14ac:dyDescent="0.35">
      <c r="A66" s="23"/>
      <c r="B66" s="23"/>
      <c r="C66" s="23"/>
      <c r="D66" s="23"/>
      <c r="E66" s="23"/>
      <c r="F66" s="70"/>
      <c r="G66" s="70"/>
      <c r="H66" s="70"/>
      <c r="I66" s="70"/>
      <c r="J66" s="70"/>
      <c r="K66" s="70"/>
      <c r="L66" s="70"/>
      <c r="M66" s="70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71"/>
    </row>
    <row r="67" spans="1:27" ht="14.5" customHeight="1" x14ac:dyDescent="0.35">
      <c r="A67" s="23"/>
      <c r="B67" s="23"/>
      <c r="C67" s="23"/>
      <c r="D67" s="23"/>
      <c r="E67" s="23"/>
      <c r="F67" s="70"/>
      <c r="G67" s="70"/>
      <c r="H67" s="70"/>
      <c r="I67" s="70"/>
      <c r="J67" s="70"/>
      <c r="K67" s="70"/>
      <c r="L67" s="70"/>
      <c r="M67" s="70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71"/>
    </row>
    <row r="68" spans="1:27" ht="14.5" customHeight="1" x14ac:dyDescent="0.35">
      <c r="A68" s="23"/>
      <c r="B68" s="23"/>
      <c r="C68" s="23"/>
      <c r="D68" s="23"/>
      <c r="E68" s="23"/>
      <c r="F68" s="70"/>
      <c r="G68" s="70"/>
      <c r="H68" s="70"/>
      <c r="I68" s="70"/>
      <c r="J68" s="70"/>
      <c r="K68" s="70"/>
      <c r="L68" s="70"/>
      <c r="M68" s="70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71"/>
    </row>
    <row r="69" spans="1:27" ht="14.5" customHeight="1" x14ac:dyDescent="0.35">
      <c r="A69" s="23"/>
      <c r="B69" s="23"/>
      <c r="C69" s="23"/>
      <c r="D69" s="23"/>
      <c r="E69" s="23"/>
      <c r="F69" s="70"/>
      <c r="G69" s="70"/>
      <c r="H69" s="70"/>
      <c r="I69" s="70"/>
      <c r="J69" s="70"/>
      <c r="K69" s="70"/>
      <c r="L69" s="70"/>
      <c r="M69" s="70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71"/>
    </row>
    <row r="70" spans="1:27" ht="14.5" customHeight="1" x14ac:dyDescent="0.35">
      <c r="A70" s="23"/>
      <c r="B70" s="23"/>
      <c r="C70" s="23"/>
      <c r="D70" s="23"/>
      <c r="E70" s="23"/>
      <c r="F70" s="70"/>
      <c r="G70" s="70"/>
      <c r="H70" s="70"/>
      <c r="I70" s="70"/>
      <c r="J70" s="70"/>
      <c r="K70" s="70"/>
      <c r="L70" s="70"/>
      <c r="M70" s="70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71"/>
    </row>
    <row r="71" spans="1:27" ht="14.5" customHeight="1" x14ac:dyDescent="0.35">
      <c r="A71" s="23"/>
      <c r="B71" s="23"/>
      <c r="C71" s="23"/>
      <c r="D71" s="23"/>
      <c r="E71" s="23"/>
      <c r="F71" s="70"/>
      <c r="G71" s="70"/>
      <c r="H71" s="70"/>
      <c r="I71" s="70"/>
      <c r="J71" s="70"/>
      <c r="K71" s="70"/>
      <c r="L71" s="70"/>
      <c r="M71" s="70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71"/>
    </row>
    <row r="72" spans="1:27" ht="14.5" customHeight="1" x14ac:dyDescent="0.35">
      <c r="A72" s="23"/>
      <c r="B72" s="23"/>
      <c r="C72" s="23"/>
      <c r="D72" s="23"/>
      <c r="E72" s="23"/>
      <c r="F72" s="70"/>
      <c r="G72" s="70"/>
      <c r="H72" s="70"/>
      <c r="I72" s="70"/>
      <c r="J72" s="70"/>
      <c r="K72" s="70"/>
      <c r="L72" s="70"/>
      <c r="M72" s="70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71"/>
    </row>
    <row r="73" spans="1:27" ht="14.5" customHeight="1" x14ac:dyDescent="0.35">
      <c r="A73" s="23"/>
      <c r="B73" s="23"/>
      <c r="C73" s="23"/>
      <c r="D73" s="23"/>
      <c r="E73" s="23"/>
      <c r="F73" s="70"/>
      <c r="G73" s="70"/>
      <c r="H73" s="70"/>
      <c r="I73" s="70"/>
      <c r="J73" s="70"/>
      <c r="K73" s="70"/>
      <c r="L73" s="70"/>
      <c r="M73" s="70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71"/>
    </row>
    <row r="74" spans="1:27" ht="14.5" customHeight="1" x14ac:dyDescent="0.35">
      <c r="A74" s="23"/>
      <c r="B74" s="23"/>
      <c r="C74" s="23"/>
      <c r="D74" s="23"/>
      <c r="E74" s="23"/>
      <c r="F74" s="70"/>
      <c r="G74" s="70"/>
      <c r="H74" s="70"/>
      <c r="I74" s="70"/>
      <c r="J74" s="70"/>
      <c r="K74" s="70"/>
      <c r="L74" s="70"/>
      <c r="M74" s="70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71"/>
    </row>
    <row r="75" spans="1:27" ht="14.5" customHeight="1" x14ac:dyDescent="0.35">
      <c r="G75" s="70"/>
      <c r="H75" s="70"/>
      <c r="I75" s="70"/>
      <c r="J75" s="70"/>
      <c r="K75" s="70"/>
      <c r="L75" s="70"/>
      <c r="M75" s="70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71"/>
    </row>
  </sheetData>
  <sheetProtection password="ED8D" sheet="1"/>
  <mergeCells count="129">
    <mergeCell ref="D45:I45"/>
    <mergeCell ref="D51:I51"/>
    <mergeCell ref="M44:Z44"/>
    <mergeCell ref="M46:Z46"/>
    <mergeCell ref="M45:Z45"/>
    <mergeCell ref="M51:Z51"/>
    <mergeCell ref="A3:D3"/>
    <mergeCell ref="A2:D2"/>
    <mergeCell ref="A40:F40"/>
    <mergeCell ref="A41:F41"/>
    <mergeCell ref="A42:F42"/>
    <mergeCell ref="A35:H35"/>
    <mergeCell ref="A36:F36"/>
    <mergeCell ref="G36:H36"/>
    <mergeCell ref="A37:F37"/>
    <mergeCell ref="H10:I10"/>
    <mergeCell ref="A39:F39"/>
    <mergeCell ref="A29:B31"/>
    <mergeCell ref="C29:C30"/>
    <mergeCell ref="C31:D31"/>
    <mergeCell ref="A32:B34"/>
    <mergeCell ref="C32:C33"/>
    <mergeCell ref="C34:D34"/>
    <mergeCell ref="C20:C21"/>
    <mergeCell ref="C22:D22"/>
    <mergeCell ref="B23:B25"/>
    <mergeCell ref="C23:C24"/>
    <mergeCell ref="C25:D25"/>
    <mergeCell ref="B26:B28"/>
    <mergeCell ref="C26:C27"/>
    <mergeCell ref="C28:D28"/>
    <mergeCell ref="A12:D12"/>
    <mergeCell ref="A13:D13"/>
    <mergeCell ref="A14:A28"/>
    <mergeCell ref="B14:B16"/>
    <mergeCell ref="C14:C15"/>
    <mergeCell ref="C16:D16"/>
    <mergeCell ref="B17:B19"/>
    <mergeCell ref="C17:C18"/>
    <mergeCell ref="C19:D19"/>
    <mergeCell ref="B20:B22"/>
    <mergeCell ref="A6:D6"/>
    <mergeCell ref="A7:D7"/>
    <mergeCell ref="A8:D8"/>
    <mergeCell ref="A9:B11"/>
    <mergeCell ref="C9:D9"/>
    <mergeCell ref="C10:D10"/>
    <mergeCell ref="C11:D11"/>
    <mergeCell ref="M43:Z43"/>
    <mergeCell ref="F3:V3"/>
    <mergeCell ref="Q4:S4"/>
    <mergeCell ref="T4:V4"/>
    <mergeCell ref="F11:G11"/>
    <mergeCell ref="H9:I9"/>
    <mergeCell ref="W5:Y5"/>
    <mergeCell ref="H5:I5"/>
    <mergeCell ref="J5:K5"/>
    <mergeCell ref="G37:H37"/>
    <mergeCell ref="L4:M4"/>
    <mergeCell ref="N4:P4"/>
    <mergeCell ref="L5:M5"/>
    <mergeCell ref="N5:P5"/>
    <mergeCell ref="Q5:S5"/>
    <mergeCell ref="T5:V5"/>
    <mergeCell ref="X1:Z1"/>
    <mergeCell ref="F2:V2"/>
    <mergeCell ref="W4:Y4"/>
    <mergeCell ref="Z4:Z5"/>
    <mergeCell ref="A5:D5"/>
    <mergeCell ref="F5:G5"/>
    <mergeCell ref="A4:D4"/>
    <mergeCell ref="F4:G4"/>
    <mergeCell ref="H4:I4"/>
    <mergeCell ref="J4:K4"/>
    <mergeCell ref="A1:D1"/>
    <mergeCell ref="F6:G6"/>
    <mergeCell ref="F7:G7"/>
    <mergeCell ref="F8:G8"/>
    <mergeCell ref="F9:G9"/>
    <mergeCell ref="F10:G10"/>
    <mergeCell ref="F1:V1"/>
    <mergeCell ref="H6:I6"/>
    <mergeCell ref="H7:I7"/>
    <mergeCell ref="H8:I8"/>
    <mergeCell ref="H11:I11"/>
    <mergeCell ref="F12:G12"/>
    <mergeCell ref="H12:I12"/>
    <mergeCell ref="J6:K6"/>
    <mergeCell ref="L6:M6"/>
    <mergeCell ref="N6:P6"/>
    <mergeCell ref="J8:K8"/>
    <mergeCell ref="L8:M8"/>
    <mergeCell ref="N8:P8"/>
    <mergeCell ref="J10:K10"/>
    <mergeCell ref="Q6:S6"/>
    <mergeCell ref="T6:V6"/>
    <mergeCell ref="W6:Y6"/>
    <mergeCell ref="J7:K7"/>
    <mergeCell ref="L7:M7"/>
    <mergeCell ref="N7:P7"/>
    <mergeCell ref="Q7:S7"/>
    <mergeCell ref="T7:V7"/>
    <mergeCell ref="W7:Y7"/>
    <mergeCell ref="Q8:S8"/>
    <mergeCell ref="T8:V8"/>
    <mergeCell ref="W8:Y8"/>
    <mergeCell ref="J9:K9"/>
    <mergeCell ref="L9:M9"/>
    <mergeCell ref="N9:P9"/>
    <mergeCell ref="Q9:S9"/>
    <mergeCell ref="T9:V9"/>
    <mergeCell ref="W9:Y9"/>
    <mergeCell ref="W12:Y12"/>
    <mergeCell ref="Q10:S10"/>
    <mergeCell ref="T10:V10"/>
    <mergeCell ref="W10:Y10"/>
    <mergeCell ref="J11:K11"/>
    <mergeCell ref="L11:M11"/>
    <mergeCell ref="N11:P11"/>
    <mergeCell ref="Q11:S11"/>
    <mergeCell ref="T11:V11"/>
    <mergeCell ref="W11:Y11"/>
    <mergeCell ref="N10:P10"/>
    <mergeCell ref="J12:K12"/>
    <mergeCell ref="L12:M12"/>
    <mergeCell ref="N12:P12"/>
    <mergeCell ref="Q12:S12"/>
    <mergeCell ref="T12:V12"/>
    <mergeCell ref="L10:M10"/>
  </mergeCells>
  <dataValidations count="1">
    <dataValidation type="decimal" operator="greaterThanOrEqual" allowBlank="1" showInputMessage="1" showErrorMessage="1" errorTitle="Nhập sai dữ liệu" error="Chỉ nhập giá trị số, hãy nhập lại!" promptTitle="Nhập dữ liệu" prompt="Chỉ nhập giá trị số" sqref="N65531:Y65533 N6:N8 W6:W8 Q6:Q8 T6:T8" xr:uid="{B602AB7C-C34F-4512-82EC-C83AD54A9F2A}">
      <formula1>0</formula1>
    </dataValidation>
  </dataValidations>
  <pageMargins left="0.2" right="0.2" top="0.75" bottom="0.25" header="0.3" footer="0.3"/>
  <pageSetup paperSize="9" scale="85" orientation="portrait" verticalDpi="0" r:id="rId1"/>
  <ignoredErrors>
    <ignoredError sqref="AB6:AB37 Z6:Z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Toàn xã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Đậu Hồng</cp:lastModifiedBy>
  <cp:lastPrinted>2025-12-15T02:20:23Z</cp:lastPrinted>
  <dcterms:created xsi:type="dcterms:W3CDTF">2025-09-07T15:59:59Z</dcterms:created>
  <dcterms:modified xsi:type="dcterms:W3CDTF">2026-08-11T09:26:36Z</dcterms:modified>
</cp:coreProperties>
</file>