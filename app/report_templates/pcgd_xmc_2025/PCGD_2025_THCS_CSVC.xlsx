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HCS\"/>
    </mc:Choice>
  </mc:AlternateContent>
  <xr:revisionPtr revIDLastSave="0" documentId="8_{1049B65D-4A0B-4429-B645-F0BCC3032E2B}" xr6:coauthVersionLast="47" xr6:coauthVersionMax="47" xr10:uidLastSave="{00000000-0000-0000-0000-000000000000}"/>
  <bookViews>
    <workbookView showHorizontalScroll="0" showVerticalScroll="0" showSheetTabs="0" xWindow="-110" yWindow="-110" windowWidth="22780" windowHeight="14540" xr2:uid="{13158610-A29E-4C7F-86BC-8C731D597A4D}"/>
  </bookViews>
  <sheets>
    <sheet name="Thống kê cơ sở vật chấ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1" l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I18" i="1"/>
  <c r="D18" i="1"/>
  <c r="E18" i="1"/>
  <c r="F18" i="1"/>
  <c r="G18" i="1"/>
  <c r="C18" i="1"/>
  <c r="H10" i="1"/>
  <c r="H11" i="1"/>
  <c r="H12" i="1"/>
  <c r="H13" i="1"/>
  <c r="H9" i="1"/>
  <c r="H14" i="1"/>
  <c r="H15" i="1"/>
  <c r="H16" i="1"/>
  <c r="H17" i="1"/>
  <c r="H8" i="1"/>
  <c r="H18" i="1"/>
</calcChain>
</file>

<file path=xl/sharedStrings.xml><?xml version="1.0" encoding="utf-8"?>
<sst xmlns="http://schemas.openxmlformats.org/spreadsheetml/2006/main" count="55" uniqueCount="47">
  <si>
    <t>THỐNG KÊ CƠ SỞ VẬT CHẤT PHỔ CẬP GIÁO DỤC TRUNG HỌC CƠ SỞ</t>
  </si>
  <si>
    <t>Mẫu: THCS-01-CSVC</t>
  </si>
  <si>
    <t>Tỉnh: Nghệ An</t>
  </si>
  <si>
    <t>TT</t>
  </si>
  <si>
    <t>Trường</t>
  </si>
  <si>
    <t>Số Đ.Tr</t>
  </si>
  <si>
    <t>Số lớp</t>
  </si>
  <si>
    <t>Số phòng học</t>
  </si>
  <si>
    <t>Phòng chức năng</t>
  </si>
  <si>
    <t>Công trình vệ sinh</t>
  </si>
  <si>
    <t>Sân chơi</t>
  </si>
  <si>
    <t>Bãi tập</t>
  </si>
  <si>
    <t>Kiên cố</t>
  </si>
  <si>
    <t>Bán kiên cố</t>
  </si>
  <si>
    <t>Tạm</t>
  </si>
  <si>
    <t>Tỉ lệ Ph/Lớp</t>
  </si>
  <si>
    <t>Hiệu trưởng</t>
  </si>
  <si>
    <t>P.Hiệu trưởng</t>
  </si>
  <si>
    <t>Văn phòng</t>
  </si>
  <si>
    <t>Y tế</t>
  </si>
  <si>
    <t>Phòng họp</t>
  </si>
  <si>
    <t>Thư viện</t>
  </si>
  <si>
    <t>Phòng thí nghiệm</t>
  </si>
  <si>
    <t>GV</t>
  </si>
  <si>
    <t>HS</t>
  </si>
  <si>
    <t>SL</t>
  </si>
  <si>
    <t>DT</t>
  </si>
  <si>
    <t>NGƯỜI LẬP BIỂU</t>
  </si>
  <si>
    <t>Tính đến thời điểm: ngày 30 tháng 9 năm 2025</t>
  </si>
  <si>
    <t>Cộng xã:</t>
  </si>
  <si>
    <t>PHÓ CHỦ TỊCH</t>
  </si>
  <si>
    <t>XÁC NHẬN CỦA UBND XÃ/PHƯỜNG/ĐẶC KHU</t>
  </si>
  <si>
    <t>(Kí tên, đóng dấu)</t>
  </si>
  <si>
    <t>Phường: Thành Vinh</t>
  </si>
  <si>
    <t>THCS Hưng Bình</t>
  </si>
  <si>
    <t>THCS Đội Cung</t>
  </si>
  <si>
    <t>THCS Quang Trung</t>
  </si>
  <si>
    <t>PT NK TDTT</t>
  </si>
  <si>
    <t>THCS Lê Lợi</t>
  </si>
  <si>
    <t>THCS Lê Mao</t>
  </si>
  <si>
    <t>THCS Cửa Nam</t>
  </si>
  <si>
    <t>THCS Blusky</t>
  </si>
  <si>
    <t>THCS Hưng Chính</t>
  </si>
  <si>
    <t>THCS Đông Vĩnh</t>
  </si>
  <si>
    <t>Thành Vinh, ngày      tháng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</si>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</sst>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₫&quot;_-;\-* #,##0.00\ &quot;₫&quot;_-;_-* &quot;-&quot;??\ &quot;₫&quot;_-;_-@_-"/>
    <numFmt numFmtId="172" formatCode="#,###"/>
  </numFmts>
  <fonts count="15" x14ac:knownFonts="1">
    <font>
      <sz val="10"/>
      <color indexed="8"/>
      <name val="Arial"/>
    </font>
    <font>
      <b/>
      <i/>
      <sz val="10"/>
      <color indexed="8"/>
      <name val="Arial"/>
    </font>
    <font>
      <b/>
      <sz val="10"/>
      <color indexed="8"/>
      <name val="Arial"/>
    </font>
    <font>
      <sz val="8"/>
      <color indexed="8"/>
      <name val="Arial"/>
    </font>
    <font>
      <b/>
      <sz val="8"/>
      <color indexed="8"/>
      <name val="Arial"/>
      <family val="2"/>
    </font>
    <font>
      <b/>
      <sz val="12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Times New Roman"/>
      <family val="1"/>
    </font>
    <font>
      <sz val="12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54">
    <xf numFmtId="0" fontId="0" fillId="0" borderId="0" xfId="0" applyFill="1" applyProtection="1"/>
    <xf numFmtId="0" fontId="2" fillId="3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</xf>
    <xf numFmtId="0" fontId="2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170" fontId="7" fillId="0" borderId="0" xfId="0" applyNumberFormat="1" applyFont="1" applyFill="1" applyAlignment="1" applyProtection="1">
      <alignment vertical="center"/>
      <protection locked="0"/>
    </xf>
    <xf numFmtId="0" fontId="6" fillId="0" borderId="0" xfId="0" applyFont="1" applyFill="1" applyProtection="1"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170" fontId="8" fillId="0" borderId="0" xfId="0" applyNumberFormat="1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0" fontId="14" fillId="0" borderId="5" xfId="0" applyFont="1" applyFill="1" applyBorder="1" applyAlignment="1" applyProtection="1">
      <alignment horizontal="center" vertical="center" shrinkToFit="1"/>
      <protection locked="0"/>
    </xf>
    <xf numFmtId="172" fontId="14" fillId="0" borderId="5" xfId="0" applyNumberFormat="1" applyFont="1" applyFill="1" applyBorder="1" applyAlignment="1" applyProtection="1">
      <alignment horizontal="center" vertical="center" shrinkToFit="1"/>
      <protection locked="0"/>
    </xf>
    <xf numFmtId="172" fontId="14" fillId="0" borderId="10" xfId="0" applyNumberFormat="1" applyFont="1" applyFill="1" applyBorder="1" applyAlignment="1" applyProtection="1">
      <alignment horizontal="center" vertical="center" shrinkToFit="1"/>
      <protection locked="0"/>
    </xf>
    <xf numFmtId="172" fontId="14" fillId="0" borderId="11" xfId="0" applyNumberFormat="1" applyFont="1" applyFill="1" applyBorder="1" applyAlignment="1" applyProtection="1">
      <alignment horizontal="center" vertical="center" shrinkToFit="1"/>
      <protection locked="0"/>
    </xf>
    <xf numFmtId="172" fontId="14" fillId="0" borderId="1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170" fontId="9" fillId="0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Fill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0" fillId="0" borderId="0" xfId="0" applyFill="1" applyAlignment="1" applyProtection="1">
      <alignment horizontal="left" vertical="center" inden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textRotation="90" wrapText="1"/>
      <protection locked="0"/>
    </xf>
    <xf numFmtId="0" fontId="3" fillId="0" borderId="8" xfId="0" applyFont="1" applyFill="1" applyBorder="1" applyAlignment="1" applyProtection="1">
      <alignment horizontal="center" vertical="center" textRotation="90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textRotation="90" wrapText="1"/>
      <protection locked="0"/>
    </xf>
    <xf numFmtId="0" fontId="3" fillId="2" borderId="8" xfId="0" applyFont="1" applyFill="1" applyBorder="1" applyAlignment="1" applyProtection="1">
      <alignment horizontal="center" vertical="center" textRotation="90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right" vertical="center"/>
      <protection locked="0"/>
    </xf>
    <xf numFmtId="0" fontId="3" fillId="0" borderId="9" xfId="0" applyFont="1" applyFill="1" applyBorder="1" applyAlignment="1" applyProtection="1">
      <alignment horizontal="center" vertical="center" textRotation="90" wrapText="1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locked="0"/>
    </xf>
    <xf numFmtId="0" fontId="4" fillId="0" borderId="7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9494-0922-40C7-A041-EEF1E2F06E7B}">
  <dimension ref="A1:AI127"/>
  <sheetViews>
    <sheetView tabSelected="1" topLeftCell="A13" workbookViewId="0">
      <selection activeCell="I35" sqref="I35"/>
    </sheetView>
  </sheetViews>
  <sheetFormatPr defaultColWidth="8.81640625" defaultRowHeight="15" customHeight="1" x14ac:dyDescent="0.25"/>
  <cols>
    <col min="1" max="1" width="4.453125" style="6" customWidth="1"/>
    <col min="2" max="2" width="23.1796875" style="6" customWidth="1"/>
    <col min="3" max="15" width="5.1796875" style="6" customWidth="1"/>
    <col min="16" max="16" width="8.1796875" style="6" customWidth="1"/>
    <col min="17" max="17" width="5.1796875" style="6" customWidth="1"/>
    <col min="18" max="18" width="8.1796875" style="6" customWidth="1"/>
    <col min="19" max="19" width="5.1796875" style="6" customWidth="1"/>
    <col min="20" max="20" width="8.1796875" style="6" customWidth="1"/>
    <col min="21" max="21" width="5.1796875" style="6" customWidth="1"/>
    <col min="22" max="22" width="8.1796875" style="6" customWidth="1"/>
    <col min="23" max="23" width="5.1796875" style="6" customWidth="1"/>
    <col min="24" max="24" width="8.1796875" style="6" customWidth="1"/>
    <col min="25" max="35" width="9.1796875" style="6" hidden="1" customWidth="1"/>
    <col min="36" max="16384" width="8.81640625" style="7"/>
  </cols>
  <sheetData>
    <row r="1" spans="1:35" ht="20.25" customHeight="1" x14ac:dyDescent="0.25">
      <c r="A1" s="34"/>
      <c r="B1" s="34"/>
      <c r="C1" s="45" t="s">
        <v>0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8" t="s">
        <v>1</v>
      </c>
      <c r="V1" s="48"/>
      <c r="W1" s="48"/>
      <c r="X1" s="48"/>
    </row>
    <row r="2" spans="1:35" ht="20.25" customHeight="1" x14ac:dyDescent="0.25">
      <c r="A2" s="33" t="s">
        <v>2</v>
      </c>
      <c r="B2" s="34"/>
      <c r="C2" s="46" t="s">
        <v>28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8"/>
      <c r="V2" s="8"/>
      <c r="W2" s="8"/>
      <c r="X2" s="8"/>
    </row>
    <row r="3" spans="1:35" ht="20.25" customHeight="1" x14ac:dyDescent="0.25">
      <c r="A3" s="33" t="s">
        <v>33</v>
      </c>
      <c r="B3" s="34"/>
      <c r="C3" s="35"/>
      <c r="D3" s="35"/>
      <c r="E3" s="35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</row>
    <row r="4" spans="1:35" ht="24.75" customHeight="1" x14ac:dyDescent="0.25">
      <c r="A4" s="39" t="s">
        <v>3</v>
      </c>
      <c r="B4" s="36" t="s">
        <v>4</v>
      </c>
      <c r="C4" s="39" t="s">
        <v>5</v>
      </c>
      <c r="D4" s="37" t="s">
        <v>6</v>
      </c>
      <c r="E4" s="42" t="s">
        <v>7</v>
      </c>
      <c r="F4" s="42"/>
      <c r="G4" s="42"/>
      <c r="H4" s="42"/>
      <c r="I4" s="51" t="s">
        <v>8</v>
      </c>
      <c r="J4" s="51"/>
      <c r="K4" s="51"/>
      <c r="L4" s="51"/>
      <c r="M4" s="51"/>
      <c r="N4" s="51"/>
      <c r="O4" s="51"/>
      <c r="P4" s="51"/>
      <c r="Q4" s="50" t="s">
        <v>9</v>
      </c>
      <c r="R4" s="51"/>
      <c r="S4" s="51"/>
      <c r="T4" s="52"/>
      <c r="U4" s="42" t="s">
        <v>10</v>
      </c>
      <c r="V4" s="42"/>
      <c r="W4" s="42" t="s">
        <v>11</v>
      </c>
      <c r="X4" s="42"/>
    </row>
    <row r="5" spans="1:35" ht="29.25" customHeight="1" x14ac:dyDescent="0.25">
      <c r="A5" s="39"/>
      <c r="B5" s="36"/>
      <c r="C5" s="39"/>
      <c r="D5" s="49"/>
      <c r="E5" s="37" t="s">
        <v>12</v>
      </c>
      <c r="F5" s="37" t="s">
        <v>13</v>
      </c>
      <c r="G5" s="37" t="s">
        <v>14</v>
      </c>
      <c r="H5" s="37" t="s">
        <v>15</v>
      </c>
      <c r="I5" s="37" t="s">
        <v>16</v>
      </c>
      <c r="J5" s="37" t="s">
        <v>17</v>
      </c>
      <c r="K5" s="37" t="s">
        <v>18</v>
      </c>
      <c r="L5" s="37" t="s">
        <v>19</v>
      </c>
      <c r="M5" s="40" t="s">
        <v>20</v>
      </c>
      <c r="N5" s="40" t="s">
        <v>21</v>
      </c>
      <c r="O5" s="43" t="s">
        <v>22</v>
      </c>
      <c r="P5" s="44"/>
      <c r="Q5" s="53" t="s">
        <v>23</v>
      </c>
      <c r="R5" s="53"/>
      <c r="S5" s="53" t="s">
        <v>24</v>
      </c>
      <c r="T5" s="53"/>
      <c r="U5" s="39" t="s">
        <v>25</v>
      </c>
      <c r="V5" s="39" t="s">
        <v>26</v>
      </c>
      <c r="W5" s="39" t="s">
        <v>25</v>
      </c>
      <c r="X5" s="39" t="s">
        <v>26</v>
      </c>
    </row>
    <row r="6" spans="1:35" ht="24.75" customHeight="1" x14ac:dyDescent="0.25">
      <c r="A6" s="39"/>
      <c r="B6" s="36"/>
      <c r="C6" s="39"/>
      <c r="D6" s="38"/>
      <c r="E6" s="38"/>
      <c r="F6" s="38"/>
      <c r="G6" s="38"/>
      <c r="H6" s="38"/>
      <c r="I6" s="38"/>
      <c r="J6" s="38"/>
      <c r="K6" s="38"/>
      <c r="L6" s="38"/>
      <c r="M6" s="41"/>
      <c r="N6" s="41"/>
      <c r="O6" s="11" t="s">
        <v>25</v>
      </c>
      <c r="P6" s="11" t="s">
        <v>26</v>
      </c>
      <c r="Q6" s="11" t="s">
        <v>25</v>
      </c>
      <c r="R6" s="11" t="s">
        <v>26</v>
      </c>
      <c r="S6" s="11" t="s">
        <v>25</v>
      </c>
      <c r="T6" s="11" t="s">
        <v>26</v>
      </c>
      <c r="U6" s="39"/>
      <c r="V6" s="39"/>
      <c r="W6" s="39"/>
      <c r="X6" s="39"/>
    </row>
    <row r="7" spans="1:35" ht="12.75" customHeight="1" x14ac:dyDescent="0.25">
      <c r="A7" s="12">
        <v>1</v>
      </c>
      <c r="B7" s="12">
        <v>2</v>
      </c>
      <c r="C7" s="12">
        <v>3</v>
      </c>
      <c r="D7" s="12">
        <v>4</v>
      </c>
      <c r="E7" s="12">
        <v>5</v>
      </c>
      <c r="F7" s="12">
        <v>6</v>
      </c>
      <c r="G7" s="12">
        <v>7</v>
      </c>
      <c r="H7" s="12">
        <v>8</v>
      </c>
      <c r="I7" s="12">
        <v>9</v>
      </c>
      <c r="J7" s="12">
        <v>10</v>
      </c>
      <c r="K7" s="12">
        <v>11</v>
      </c>
      <c r="L7" s="12">
        <v>12</v>
      </c>
      <c r="M7" s="12">
        <v>13</v>
      </c>
      <c r="N7" s="12">
        <v>14</v>
      </c>
      <c r="O7" s="12">
        <v>15</v>
      </c>
      <c r="P7" s="12">
        <v>16</v>
      </c>
      <c r="Q7" s="12">
        <v>17</v>
      </c>
      <c r="R7" s="12">
        <v>18</v>
      </c>
      <c r="S7" s="12">
        <v>19</v>
      </c>
      <c r="T7" s="12">
        <v>20</v>
      </c>
      <c r="U7" s="12">
        <v>21</v>
      </c>
      <c r="V7" s="12">
        <v>22</v>
      </c>
      <c r="W7" s="12">
        <v>23</v>
      </c>
      <c r="X7" s="12">
        <v>24</v>
      </c>
      <c r="Y7" s="12">
        <v>25</v>
      </c>
      <c r="Z7" s="12">
        <v>26</v>
      </c>
      <c r="AA7" s="12">
        <v>27</v>
      </c>
      <c r="AB7" s="12">
        <v>28</v>
      </c>
      <c r="AC7" s="12">
        <v>29</v>
      </c>
      <c r="AD7" s="12">
        <v>30</v>
      </c>
      <c r="AE7" s="12">
        <v>31</v>
      </c>
      <c r="AF7" s="12">
        <v>32</v>
      </c>
      <c r="AG7" s="12">
        <v>33</v>
      </c>
      <c r="AH7" s="12">
        <v>34</v>
      </c>
      <c r="AI7" s="12">
        <v>35</v>
      </c>
    </row>
    <row r="8" spans="1:35" s="14" customFormat="1" ht="19.149999999999999" customHeight="1" x14ac:dyDescent="0.25">
      <c r="A8" s="12">
        <v>1</v>
      </c>
      <c r="B8" s="24" t="s">
        <v>34</v>
      </c>
      <c r="C8" s="12">
        <v>0</v>
      </c>
      <c r="D8" s="25">
        <v>33</v>
      </c>
      <c r="E8" s="26">
        <v>33</v>
      </c>
      <c r="F8" s="27"/>
      <c r="G8" s="12"/>
      <c r="H8" s="2">
        <f>SUM(E8:G8)/D8</f>
        <v>1</v>
      </c>
      <c r="I8" s="25">
        <v>1</v>
      </c>
      <c r="J8" s="25">
        <v>1</v>
      </c>
      <c r="K8" s="26">
        <v>4</v>
      </c>
      <c r="L8" s="26">
        <v>1</v>
      </c>
      <c r="M8" s="26">
        <v>1</v>
      </c>
      <c r="N8" s="26">
        <v>1</v>
      </c>
      <c r="O8" s="26">
        <v>2</v>
      </c>
      <c r="P8" s="28">
        <v>180</v>
      </c>
      <c r="Q8" s="26">
        <v>2</v>
      </c>
      <c r="R8" s="28">
        <v>40</v>
      </c>
      <c r="S8" s="26">
        <v>10</v>
      </c>
      <c r="T8" s="28">
        <v>300</v>
      </c>
      <c r="U8" s="26">
        <v>1</v>
      </c>
      <c r="V8" s="28">
        <v>700</v>
      </c>
      <c r="W8" s="26">
        <v>1</v>
      </c>
      <c r="X8" s="28">
        <v>300</v>
      </c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s="14" customFormat="1" ht="19.149999999999999" customHeight="1" x14ac:dyDescent="0.25">
      <c r="A9" s="12">
        <v>2</v>
      </c>
      <c r="B9" s="24" t="s">
        <v>35</v>
      </c>
      <c r="C9" s="12"/>
      <c r="D9" s="25">
        <v>21</v>
      </c>
      <c r="E9" s="26">
        <v>21</v>
      </c>
      <c r="F9" s="27"/>
      <c r="G9" s="12"/>
      <c r="H9" s="2">
        <f t="shared" ref="H9:H18" si="0">SUM(E9:G9)/D9</f>
        <v>1</v>
      </c>
      <c r="I9" s="25">
        <v>1</v>
      </c>
      <c r="J9" s="25">
        <v>1</v>
      </c>
      <c r="K9" s="26">
        <v>1</v>
      </c>
      <c r="L9" s="26">
        <v>1</v>
      </c>
      <c r="M9" s="26">
        <v>1</v>
      </c>
      <c r="N9" s="26">
        <v>1</v>
      </c>
      <c r="O9" s="26">
        <v>2</v>
      </c>
      <c r="P9" s="28">
        <v>160</v>
      </c>
      <c r="Q9" s="26">
        <v>4</v>
      </c>
      <c r="R9" s="28">
        <v>80</v>
      </c>
      <c r="S9" s="26">
        <v>4</v>
      </c>
      <c r="T9" s="28">
        <v>80</v>
      </c>
      <c r="U9" s="26">
        <v>1</v>
      </c>
      <c r="V9" s="28">
        <v>1500</v>
      </c>
      <c r="W9" s="26">
        <v>1</v>
      </c>
      <c r="X9" s="28">
        <v>50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s="14" customFormat="1" ht="19.149999999999999" customHeight="1" x14ac:dyDescent="0.25">
      <c r="A10" s="12">
        <v>3</v>
      </c>
      <c r="B10" s="24" t="s">
        <v>36</v>
      </c>
      <c r="C10" s="12"/>
      <c r="D10" s="25">
        <v>16</v>
      </c>
      <c r="E10" s="26">
        <v>13</v>
      </c>
      <c r="F10" s="27"/>
      <c r="G10" s="12"/>
      <c r="H10" s="2">
        <f t="shared" si="0"/>
        <v>0.8125</v>
      </c>
      <c r="I10" s="25">
        <v>1</v>
      </c>
      <c r="J10" s="25">
        <v>4</v>
      </c>
      <c r="K10" s="26"/>
      <c r="L10" s="26"/>
      <c r="M10" s="26">
        <v>1</v>
      </c>
      <c r="N10" s="26">
        <v>1</v>
      </c>
      <c r="O10" s="26"/>
      <c r="P10" s="28"/>
      <c r="Q10" s="26">
        <v>2</v>
      </c>
      <c r="R10" s="28">
        <v>40</v>
      </c>
      <c r="S10" s="26">
        <v>2</v>
      </c>
      <c r="T10" s="28">
        <v>20</v>
      </c>
      <c r="U10" s="26">
        <v>1</v>
      </c>
      <c r="V10" s="28">
        <v>1000</v>
      </c>
      <c r="W10" s="26">
        <v>1</v>
      </c>
      <c r="X10" s="28">
        <v>700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s="14" customFormat="1" ht="19.149999999999999" customHeight="1" x14ac:dyDescent="0.25">
      <c r="A11" s="12">
        <v>4</v>
      </c>
      <c r="B11" s="24" t="s">
        <v>37</v>
      </c>
      <c r="C11" s="12"/>
      <c r="D11" s="25">
        <v>13</v>
      </c>
      <c r="E11" s="26">
        <v>13</v>
      </c>
      <c r="F11" s="27"/>
      <c r="G11" s="12"/>
      <c r="H11" s="2">
        <f t="shared" si="0"/>
        <v>1</v>
      </c>
      <c r="I11" s="25">
        <v>1</v>
      </c>
      <c r="J11" s="25">
        <v>1</v>
      </c>
      <c r="K11" s="26">
        <v>1</v>
      </c>
      <c r="L11" s="26">
        <v>1</v>
      </c>
      <c r="M11" s="26">
        <v>1</v>
      </c>
      <c r="N11" s="26">
        <v>1</v>
      </c>
      <c r="O11" s="26">
        <v>1</v>
      </c>
      <c r="P11" s="28">
        <v>50</v>
      </c>
      <c r="Q11" s="26">
        <v>3</v>
      </c>
      <c r="R11" s="28">
        <v>75</v>
      </c>
      <c r="S11" s="26">
        <v>5</v>
      </c>
      <c r="T11" s="28">
        <v>68</v>
      </c>
      <c r="U11" s="26">
        <v>1</v>
      </c>
      <c r="V11" s="28">
        <v>1000</v>
      </c>
      <c r="W11" s="26">
        <v>1</v>
      </c>
      <c r="X11" s="28">
        <v>500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s="14" customFormat="1" ht="19.149999999999999" customHeight="1" x14ac:dyDescent="0.25">
      <c r="A12" s="12">
        <v>5</v>
      </c>
      <c r="B12" s="24" t="s">
        <v>38</v>
      </c>
      <c r="C12" s="12"/>
      <c r="D12" s="25">
        <v>39</v>
      </c>
      <c r="E12" s="26">
        <v>39</v>
      </c>
      <c r="F12" s="27"/>
      <c r="G12" s="12"/>
      <c r="H12" s="2">
        <f t="shared" si="0"/>
        <v>1</v>
      </c>
      <c r="I12" s="25">
        <v>1</v>
      </c>
      <c r="J12" s="25">
        <v>2</v>
      </c>
      <c r="K12" s="26">
        <v>1</v>
      </c>
      <c r="L12" s="26">
        <v>1</v>
      </c>
      <c r="M12" s="26">
        <v>1</v>
      </c>
      <c r="N12" s="26">
        <v>2</v>
      </c>
      <c r="O12" s="26">
        <v>3</v>
      </c>
      <c r="P12" s="28">
        <v>168</v>
      </c>
      <c r="Q12" s="26">
        <v>8</v>
      </c>
      <c r="R12" s="28">
        <v>224</v>
      </c>
      <c r="S12" s="26">
        <v>4</v>
      </c>
      <c r="T12" s="28">
        <v>112</v>
      </c>
      <c r="U12" s="26">
        <v>2</v>
      </c>
      <c r="V12" s="28">
        <v>4820</v>
      </c>
      <c r="W12" s="26">
        <v>1</v>
      </c>
      <c r="X12" s="28">
        <v>2130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s="14" customFormat="1" ht="19.149999999999999" customHeight="1" x14ac:dyDescent="0.25">
      <c r="A13" s="12">
        <v>6</v>
      </c>
      <c r="B13" s="24" t="s">
        <v>39</v>
      </c>
      <c r="C13" s="12"/>
      <c r="D13" s="25">
        <v>26</v>
      </c>
      <c r="E13" s="26">
        <v>26</v>
      </c>
      <c r="F13" s="27"/>
      <c r="G13" s="12"/>
      <c r="H13" s="2">
        <f t="shared" si="0"/>
        <v>1</v>
      </c>
      <c r="I13" s="25">
        <v>1</v>
      </c>
      <c r="J13" s="25">
        <v>1</v>
      </c>
      <c r="K13" s="26">
        <v>3</v>
      </c>
      <c r="L13" s="26">
        <v>1</v>
      </c>
      <c r="M13" s="26">
        <v>2</v>
      </c>
      <c r="N13" s="26">
        <v>1</v>
      </c>
      <c r="O13" s="26">
        <v>2</v>
      </c>
      <c r="P13" s="28">
        <v>150</v>
      </c>
      <c r="Q13" s="26">
        <v>3</v>
      </c>
      <c r="R13" s="28">
        <v>135</v>
      </c>
      <c r="S13" s="26">
        <v>11</v>
      </c>
      <c r="T13" s="28">
        <v>495</v>
      </c>
      <c r="U13" s="26">
        <v>1</v>
      </c>
      <c r="V13" s="28">
        <v>1200</v>
      </c>
      <c r="W13" s="26">
        <v>1</v>
      </c>
      <c r="X13" s="28">
        <v>500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s="14" customFormat="1" ht="19.149999999999999" customHeight="1" x14ac:dyDescent="0.25">
      <c r="A14" s="12">
        <v>7</v>
      </c>
      <c r="B14" s="24" t="s">
        <v>40</v>
      </c>
      <c r="C14" s="12"/>
      <c r="D14" s="25">
        <v>26</v>
      </c>
      <c r="E14" s="26">
        <v>26</v>
      </c>
      <c r="F14" s="27"/>
      <c r="G14" s="12"/>
      <c r="H14" s="2">
        <f t="shared" si="0"/>
        <v>1</v>
      </c>
      <c r="I14" s="25">
        <v>1</v>
      </c>
      <c r="J14" s="25">
        <v>1</v>
      </c>
      <c r="K14" s="26">
        <v>3</v>
      </c>
      <c r="L14" s="26">
        <v>1</v>
      </c>
      <c r="M14" s="26">
        <v>2</v>
      </c>
      <c r="N14" s="26">
        <v>2</v>
      </c>
      <c r="O14" s="26">
        <v>2</v>
      </c>
      <c r="P14" s="28">
        <v>100</v>
      </c>
      <c r="Q14" s="26">
        <v>4</v>
      </c>
      <c r="R14" s="28">
        <v>40</v>
      </c>
      <c r="S14" s="26">
        <v>6</v>
      </c>
      <c r="T14" s="28">
        <v>120</v>
      </c>
      <c r="U14" s="26">
        <v>1</v>
      </c>
      <c r="V14" s="28">
        <v>1000</v>
      </c>
      <c r="W14" s="26">
        <v>1</v>
      </c>
      <c r="X14" s="28">
        <v>300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s="14" customFormat="1" ht="19.149999999999999" customHeight="1" x14ac:dyDescent="0.25">
      <c r="A15" s="12">
        <v>8</v>
      </c>
      <c r="B15" s="24" t="s">
        <v>41</v>
      </c>
      <c r="C15" s="12"/>
      <c r="D15" s="25">
        <v>8</v>
      </c>
      <c r="E15" s="26">
        <v>8</v>
      </c>
      <c r="F15" s="27"/>
      <c r="G15" s="12"/>
      <c r="H15" s="2">
        <f t="shared" si="0"/>
        <v>1</v>
      </c>
      <c r="I15" s="25">
        <v>1</v>
      </c>
      <c r="J15" s="25">
        <v>1</v>
      </c>
      <c r="K15" s="26">
        <v>1</v>
      </c>
      <c r="L15" s="26">
        <v>1</v>
      </c>
      <c r="M15" s="26">
        <v>1</v>
      </c>
      <c r="N15" s="26">
        <v>1</v>
      </c>
      <c r="O15" s="26">
        <v>1</v>
      </c>
      <c r="P15" s="28">
        <v>85</v>
      </c>
      <c r="Q15" s="26">
        <v>1</v>
      </c>
      <c r="R15" s="28">
        <v>25</v>
      </c>
      <c r="S15" s="26">
        <v>3</v>
      </c>
      <c r="T15" s="28">
        <v>75</v>
      </c>
      <c r="U15" s="26">
        <v>2</v>
      </c>
      <c r="V15" s="28">
        <v>2430</v>
      </c>
      <c r="W15" s="26">
        <v>1</v>
      </c>
      <c r="X15" s="28">
        <v>500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s="14" customFormat="1" ht="19.149999999999999" customHeight="1" x14ac:dyDescent="0.25">
      <c r="A16" s="12">
        <v>9</v>
      </c>
      <c r="B16" s="24" t="s">
        <v>42</v>
      </c>
      <c r="C16" s="12"/>
      <c r="D16" s="25">
        <v>17</v>
      </c>
      <c r="E16" s="26">
        <v>17</v>
      </c>
      <c r="F16" s="27"/>
      <c r="G16" s="12"/>
      <c r="H16" s="2">
        <f t="shared" si="0"/>
        <v>1</v>
      </c>
      <c r="I16" s="25">
        <v>1</v>
      </c>
      <c r="J16" s="25">
        <v>1</v>
      </c>
      <c r="K16" s="26">
        <v>1</v>
      </c>
      <c r="L16" s="26">
        <v>1</v>
      </c>
      <c r="M16" s="26">
        <v>1</v>
      </c>
      <c r="N16" s="26">
        <v>1</v>
      </c>
      <c r="O16" s="26">
        <v>2</v>
      </c>
      <c r="P16" s="28">
        <v>60</v>
      </c>
      <c r="Q16" s="26">
        <v>2</v>
      </c>
      <c r="R16" s="28">
        <v>20</v>
      </c>
      <c r="S16" s="26">
        <v>2</v>
      </c>
      <c r="T16" s="28">
        <v>30</v>
      </c>
      <c r="U16" s="26">
        <v>1</v>
      </c>
      <c r="V16" s="28">
        <v>1888</v>
      </c>
      <c r="W16" s="26">
        <v>1</v>
      </c>
      <c r="X16" s="28">
        <v>1800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s="14" customFormat="1" ht="19.149999999999999" customHeight="1" x14ac:dyDescent="0.25">
      <c r="A17" s="12">
        <v>10</v>
      </c>
      <c r="B17" s="24" t="s">
        <v>43</v>
      </c>
      <c r="C17" s="12"/>
      <c r="D17" s="25">
        <v>5</v>
      </c>
      <c r="E17" s="26">
        <v>5</v>
      </c>
      <c r="F17" s="27"/>
      <c r="G17" s="12"/>
      <c r="H17" s="2">
        <f t="shared" si="0"/>
        <v>1</v>
      </c>
      <c r="I17" s="25">
        <v>1</v>
      </c>
      <c r="J17" s="25"/>
      <c r="K17" s="26">
        <v>1</v>
      </c>
      <c r="L17" s="26"/>
      <c r="M17" s="26"/>
      <c r="N17" s="26"/>
      <c r="O17" s="26"/>
      <c r="P17" s="28"/>
      <c r="Q17" s="26">
        <v>1</v>
      </c>
      <c r="R17" s="28">
        <v>20</v>
      </c>
      <c r="S17" s="26">
        <v>1</v>
      </c>
      <c r="T17" s="28">
        <v>10</v>
      </c>
      <c r="U17" s="26"/>
      <c r="V17" s="28"/>
      <c r="W17" s="26"/>
      <c r="X17" s="28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s="14" customFormat="1" ht="24" customHeight="1" x14ac:dyDescent="0.25">
      <c r="A18" s="15"/>
      <c r="B18" s="16" t="s">
        <v>29</v>
      </c>
      <c r="C18" s="1">
        <f>SUM(C8:C17)</f>
        <v>0</v>
      </c>
      <c r="D18" s="1">
        <f>SUM(D8:D17)</f>
        <v>204</v>
      </c>
      <c r="E18" s="1">
        <f>SUM(E8:E17)</f>
        <v>201</v>
      </c>
      <c r="F18" s="1">
        <f>SUM(F8:F17)</f>
        <v>0</v>
      </c>
      <c r="G18" s="3">
        <f>SUM(G8:G17)</f>
        <v>0</v>
      </c>
      <c r="H18" s="5">
        <f t="shared" si="0"/>
        <v>0.98529411764705888</v>
      </c>
      <c r="I18" s="4">
        <f>SUM(I8:I17)</f>
        <v>10</v>
      </c>
      <c r="J18" s="4">
        <f t="shared" ref="J18:X18" si="1">SUM(J8:J17)</f>
        <v>13</v>
      </c>
      <c r="K18" s="4">
        <f t="shared" si="1"/>
        <v>16</v>
      </c>
      <c r="L18" s="4">
        <f t="shared" si="1"/>
        <v>8</v>
      </c>
      <c r="M18" s="4">
        <f t="shared" si="1"/>
        <v>11</v>
      </c>
      <c r="N18" s="4">
        <f t="shared" si="1"/>
        <v>11</v>
      </c>
      <c r="O18" s="4">
        <f t="shared" si="1"/>
        <v>15</v>
      </c>
      <c r="P18" s="4">
        <f t="shared" si="1"/>
        <v>953</v>
      </c>
      <c r="Q18" s="4">
        <f t="shared" si="1"/>
        <v>30</v>
      </c>
      <c r="R18" s="4">
        <f t="shared" si="1"/>
        <v>699</v>
      </c>
      <c r="S18" s="4">
        <f t="shared" si="1"/>
        <v>48</v>
      </c>
      <c r="T18" s="4">
        <f t="shared" si="1"/>
        <v>1310</v>
      </c>
      <c r="U18" s="4">
        <f t="shared" si="1"/>
        <v>11</v>
      </c>
      <c r="V18" s="4">
        <f t="shared" si="1"/>
        <v>15538</v>
      </c>
      <c r="W18" s="4">
        <f t="shared" si="1"/>
        <v>9</v>
      </c>
      <c r="X18" s="4">
        <f t="shared" si="1"/>
        <v>6780</v>
      </c>
    </row>
    <row r="19" spans="1:35" ht="5.5" customHeight="1" x14ac:dyDescent="0.25"/>
    <row r="20" spans="1:35" s="19" customFormat="1" ht="15" customHeight="1" x14ac:dyDescent="0.3">
      <c r="A20" s="17"/>
      <c r="B20" s="17"/>
      <c r="C20" s="17"/>
      <c r="D20" s="17"/>
      <c r="E20" s="18"/>
      <c r="F20" s="18"/>
      <c r="G20" s="17"/>
      <c r="K20" s="30" t="s">
        <v>44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spans="1:35" s="19" customFormat="1" ht="15" customHeight="1" x14ac:dyDescent="0.3">
      <c r="A21" s="17"/>
      <c r="B21" s="17"/>
      <c r="C21" s="20"/>
      <c r="D21" s="20"/>
      <c r="E21" s="21"/>
      <c r="F21" s="21"/>
      <c r="G21" s="17"/>
      <c r="K21" s="29" t="s">
        <v>31</v>
      </c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spans="1:35" s="19" customFormat="1" ht="15" customHeight="1" x14ac:dyDescent="0.3">
      <c r="A22" s="32" t="s">
        <v>27</v>
      </c>
      <c r="B22" s="32"/>
      <c r="F22" s="22"/>
      <c r="G22" s="22"/>
      <c r="H22" s="22"/>
      <c r="I22" s="22"/>
      <c r="J22" s="22"/>
      <c r="K22" s="29" t="s">
        <v>30</v>
      </c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s="19" customFormat="1" ht="15" customHeight="1" x14ac:dyDescent="0.3">
      <c r="A23" s="17"/>
      <c r="B23" s="17"/>
      <c r="F23" s="23"/>
      <c r="G23" s="23"/>
      <c r="H23" s="23"/>
      <c r="I23" s="23"/>
      <c r="J23" s="23"/>
      <c r="K23" s="31" t="s">
        <v>32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 spans="1:35" s="19" customFormat="1" ht="15" customHeight="1" x14ac:dyDescent="0.3">
      <c r="A24" s="17"/>
      <c r="B24" s="17"/>
      <c r="G24" s="17"/>
      <c r="H24" s="17"/>
      <c r="I24" s="17"/>
      <c r="J24" s="17"/>
      <c r="K24" s="17"/>
      <c r="L24" s="17"/>
      <c r="M24" s="17"/>
      <c r="N24" s="17"/>
      <c r="O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 spans="1:35" s="19" customFormat="1" ht="16.149999999999999" customHeight="1" x14ac:dyDescent="0.3">
      <c r="A25" s="17"/>
      <c r="B25" s="17"/>
      <c r="G25" s="17"/>
      <c r="H25" s="17"/>
      <c r="I25" s="17"/>
      <c r="J25" s="17"/>
      <c r="K25" s="17"/>
      <c r="L25" s="17"/>
      <c r="M25" s="17"/>
      <c r="N25" s="17"/>
      <c r="O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 spans="1:35" s="19" customFormat="1" ht="15" customHeight="1" x14ac:dyDescent="0.3">
      <c r="A26" s="17"/>
      <c r="B26" s="17"/>
      <c r="G26" s="17"/>
      <c r="H26" s="17"/>
      <c r="I26" s="17"/>
      <c r="J26" s="17"/>
      <c r="K26" s="17"/>
      <c r="L26" s="17"/>
      <c r="M26" s="17"/>
      <c r="N26" s="17"/>
      <c r="O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 spans="1:35" s="19" customFormat="1" ht="15" customHeight="1" x14ac:dyDescent="0.3">
      <c r="A27" s="17"/>
      <c r="B27" s="17"/>
      <c r="G27" s="17"/>
      <c r="H27" s="17"/>
      <c r="I27" s="17"/>
      <c r="J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 spans="1:35" s="19" customFormat="1" ht="15" customHeight="1" x14ac:dyDescent="0.3">
      <c r="A28" s="29" t="s">
        <v>46</v>
      </c>
      <c r="B28" s="29"/>
      <c r="F28" s="22"/>
      <c r="G28" s="22"/>
      <c r="H28" s="22"/>
      <c r="I28" s="22"/>
      <c r="J28" s="22"/>
      <c r="K28" s="29" t="s">
        <v>45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spans="1:35" s="19" customFormat="1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spans="1:35" s="19" customFormat="1" ht="1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spans="1:35" s="19" customFormat="1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127" spans="17:24" ht="15" customHeight="1" x14ac:dyDescent="0.25">
      <c r="Q127" s="7"/>
      <c r="R127" s="7"/>
      <c r="S127" s="7"/>
      <c r="T127" s="7"/>
      <c r="U127" s="7"/>
      <c r="V127" s="7"/>
      <c r="W127" s="7"/>
      <c r="X127" s="7"/>
    </row>
  </sheetData>
  <sheetProtection password="ED8D" sheet="1"/>
  <mergeCells count="40">
    <mergeCell ref="Q4:T4"/>
    <mergeCell ref="L5:L6"/>
    <mergeCell ref="S5:T5"/>
    <mergeCell ref="W5:W6"/>
    <mergeCell ref="N5:N6"/>
    <mergeCell ref="Q5:R5"/>
    <mergeCell ref="I4:P4"/>
    <mergeCell ref="E5:E6"/>
    <mergeCell ref="G5:G6"/>
    <mergeCell ref="F5:F6"/>
    <mergeCell ref="D4:D6"/>
    <mergeCell ref="J5:J6"/>
    <mergeCell ref="K5:K6"/>
    <mergeCell ref="X5:X6"/>
    <mergeCell ref="O5:P5"/>
    <mergeCell ref="U5:U6"/>
    <mergeCell ref="U4:V4"/>
    <mergeCell ref="W4:X4"/>
    <mergeCell ref="A1:B1"/>
    <mergeCell ref="A2:B2"/>
    <mergeCell ref="C1:T1"/>
    <mergeCell ref="C2:T2"/>
    <mergeCell ref="U1:X1"/>
    <mergeCell ref="A3:B3"/>
    <mergeCell ref="C3:E3"/>
    <mergeCell ref="B4:B6"/>
    <mergeCell ref="H5:H6"/>
    <mergeCell ref="V5:V6"/>
    <mergeCell ref="M5:M6"/>
    <mergeCell ref="E4:H4"/>
    <mergeCell ref="A4:A6"/>
    <mergeCell ref="C4:C6"/>
    <mergeCell ref="I5:I6"/>
    <mergeCell ref="A28:B28"/>
    <mergeCell ref="K20:X20"/>
    <mergeCell ref="K21:X21"/>
    <mergeCell ref="K23:X23"/>
    <mergeCell ref="K22:X22"/>
    <mergeCell ref="K28:X28"/>
    <mergeCell ref="A22:B22"/>
  </mergeCells>
  <dataValidations count="2">
    <dataValidation type="list" allowBlank="1" showInputMessage="1" showErrorMessage="1" sqref="D3:E3" xr:uid="{D6CBEB50-8537-4435-BBCE-1BACB7087BF8}">
      <formula1>$AF$1</formula1>
    </dataValidation>
    <dataValidation type="list" allowBlank="1" showInputMessage="1" showErrorMessage="1" sqref="C3" xr:uid="{E471AA40-DB13-4A97-9E99-C2EB45D609D6}">
      <formula1>$AF$9806:$AF$9819</formula1>
    </dataValidation>
  </dataValidations>
  <pageMargins left="0.25" right="0.25" top="1" bottom="1" header="0.5" footer="0.5"/>
  <pageSetup paperSize="9"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cơ sở vật chất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2025-12-16T14:07:07Z</cp:lastPrinted>
  <dcterms:created xsi:type="dcterms:W3CDTF">2026-04-01T08:03:43Z</dcterms:created>
  <dcterms:modified xsi:type="dcterms:W3CDTF">2026-08-11T09:29:37Z</dcterms:modified>
</cp:coreProperties>
</file>